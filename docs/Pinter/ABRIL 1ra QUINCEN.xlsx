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53b3b1fa6ae868/Escritorio/"/>
    </mc:Choice>
  </mc:AlternateContent>
  <xr:revisionPtr revIDLastSave="0" documentId="8_{AA0F3D18-1D80-416B-8A8B-6C2875CBD6E8}" xr6:coauthVersionLast="47" xr6:coauthVersionMax="47" xr10:uidLastSave="{00000000-0000-0000-0000-000000000000}"/>
  <bookViews>
    <workbookView xWindow="-120" yWindow="-120" windowWidth="20730" windowHeight="11040" tabRatio="885" firstSheet="13" activeTab="13" xr2:uid="{F6273439-30BD-4749-A5E9-3B7F91C2EF3C}"/>
  </bookViews>
  <sheets>
    <sheet name="LEO SOTO" sheetId="2" r:id="rId1"/>
    <sheet name="GABRIEL" sheetId="9" r:id="rId2"/>
    <sheet name="DANIEL" sheetId="13" r:id="rId3"/>
    <sheet name="ISAIAS" sheetId="3" r:id="rId4"/>
    <sheet name="WALTER" sheetId="7" r:id="rId5"/>
    <sheet name="MIGUEL" sheetId="10" r:id="rId6"/>
    <sheet name="ALAN " sheetId="24" r:id="rId7"/>
    <sheet name="EZEQUIEL" sheetId="14" r:id="rId8"/>
    <sheet name="JUNIOR" sheetId="16" r:id="rId9"/>
    <sheet name="JOSE " sheetId="27" r:id="rId10"/>
    <sheet name="KEVIN" sheetId="8" r:id="rId11"/>
    <sheet name="RENZO" sheetId="19" r:id="rId12"/>
    <sheet name="SN" sheetId="12" r:id="rId13"/>
    <sheet name="IMPRIMIR" sheetId="15" r:id="rId14"/>
    <sheet name="Vacaciones aguinaldo" sheetId="21" r:id="rId15"/>
    <sheet name="Hoja1" sheetId="22" r:id="rId16"/>
    <sheet name="Hoja5" sheetId="28" r:id="rId17"/>
    <sheet name="Hoja2" sheetId="23" r:id="rId18"/>
    <sheet name="Hoja3" sheetId="25" r:id="rId19"/>
    <sheet name="Hoja4" sheetId="26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9" i="15" l="1"/>
  <c r="M78" i="15"/>
  <c r="M77" i="15"/>
  <c r="C79" i="15"/>
  <c r="C77" i="15"/>
  <c r="G79" i="15"/>
  <c r="G78" i="15"/>
  <c r="G77" i="15"/>
  <c r="B60" i="15"/>
  <c r="H17" i="15"/>
  <c r="D17" i="26"/>
  <c r="D18" i="26" s="1"/>
  <c r="D12" i="26"/>
  <c r="D11" i="26"/>
  <c r="D10" i="26"/>
  <c r="D9" i="26"/>
  <c r="D8" i="26"/>
  <c r="D13" i="26" s="1"/>
  <c r="D6" i="26"/>
  <c r="F12" i="27"/>
  <c r="E24" i="27"/>
  <c r="E23" i="27"/>
  <c r="F23" i="27" s="1"/>
  <c r="E22" i="27"/>
  <c r="F22" i="27" s="1"/>
  <c r="E21" i="27"/>
  <c r="F21" i="27" s="1"/>
  <c r="E20" i="27"/>
  <c r="E19" i="27"/>
  <c r="F19" i="27" s="1"/>
  <c r="E17" i="27"/>
  <c r="F17" i="27" s="1"/>
  <c r="E16" i="27"/>
  <c r="F16" i="27" s="1"/>
  <c r="E14" i="27"/>
  <c r="F14" i="27" s="1"/>
  <c r="E13" i="27"/>
  <c r="E12" i="27"/>
  <c r="E11" i="27"/>
  <c r="F11" i="27" s="1"/>
  <c r="E10" i="27"/>
  <c r="F10" i="27" s="1"/>
  <c r="E9" i="27"/>
  <c r="E23" i="8"/>
  <c r="E22" i="8"/>
  <c r="E21" i="8"/>
  <c r="F21" i="8" s="1"/>
  <c r="E20" i="8"/>
  <c r="F20" i="8" s="1"/>
  <c r="E19" i="8"/>
  <c r="E18" i="8"/>
  <c r="E17" i="8"/>
  <c r="E16" i="8"/>
  <c r="E15" i="8"/>
  <c r="F15" i="8" s="1"/>
  <c r="E14" i="8"/>
  <c r="F14" i="8" s="1"/>
  <c r="E13" i="8"/>
  <c r="E12" i="8"/>
  <c r="E11" i="8"/>
  <c r="E10" i="8"/>
  <c r="F10" i="8" s="1"/>
  <c r="E8" i="8"/>
  <c r="E24" i="19"/>
  <c r="E23" i="19"/>
  <c r="E22" i="19"/>
  <c r="E21" i="19"/>
  <c r="E20" i="19"/>
  <c r="E19" i="19"/>
  <c r="E18" i="19"/>
  <c r="E17" i="19"/>
  <c r="E16" i="19"/>
  <c r="F16" i="19" s="1"/>
  <c r="E15" i="19"/>
  <c r="F15" i="19" s="1"/>
  <c r="E14" i="19"/>
  <c r="E13" i="19"/>
  <c r="E12" i="19"/>
  <c r="E11" i="19"/>
  <c r="F11" i="19" s="1"/>
  <c r="E9" i="19"/>
  <c r="E24" i="14"/>
  <c r="E23" i="14"/>
  <c r="F23" i="14" s="1"/>
  <c r="E22" i="14"/>
  <c r="F22" i="14" s="1"/>
  <c r="E21" i="14"/>
  <c r="F21" i="14" s="1"/>
  <c r="E20" i="14"/>
  <c r="E19" i="14"/>
  <c r="E18" i="14"/>
  <c r="F18" i="14" s="1"/>
  <c r="E17" i="14"/>
  <c r="F17" i="14" s="1"/>
  <c r="E16" i="14"/>
  <c r="E15" i="14"/>
  <c r="F15" i="14" s="1"/>
  <c r="E14" i="14"/>
  <c r="F14" i="14" s="1"/>
  <c r="E13" i="14"/>
  <c r="E12" i="14"/>
  <c r="E11" i="14"/>
  <c r="F11" i="14" s="1"/>
  <c r="E9" i="14"/>
  <c r="E23" i="16"/>
  <c r="E22" i="16"/>
  <c r="E21" i="16"/>
  <c r="E20" i="16"/>
  <c r="E19" i="16"/>
  <c r="E18" i="16"/>
  <c r="E17" i="16"/>
  <c r="E16" i="16"/>
  <c r="F16" i="16" s="1"/>
  <c r="E15" i="16"/>
  <c r="E14" i="16"/>
  <c r="E13" i="16"/>
  <c r="E12" i="16"/>
  <c r="E11" i="16"/>
  <c r="E10" i="16"/>
  <c r="E9" i="16"/>
  <c r="E8" i="16"/>
  <c r="E24" i="24"/>
  <c r="E23" i="24"/>
  <c r="F23" i="24" s="1"/>
  <c r="E22" i="24"/>
  <c r="F22" i="24" s="1"/>
  <c r="E21" i="24"/>
  <c r="E20" i="24"/>
  <c r="E19" i="24"/>
  <c r="E18" i="24"/>
  <c r="F18" i="24" s="1"/>
  <c r="E17" i="24"/>
  <c r="F17" i="24" s="1"/>
  <c r="E16" i="24"/>
  <c r="F16" i="24" s="1"/>
  <c r="E15" i="24"/>
  <c r="F15" i="24" s="1"/>
  <c r="E14" i="24"/>
  <c r="F14" i="24" s="1"/>
  <c r="E13" i="24"/>
  <c r="E12" i="24"/>
  <c r="E11" i="24"/>
  <c r="F11" i="24" s="1"/>
  <c r="E9" i="24"/>
  <c r="E23" i="10"/>
  <c r="E22" i="10"/>
  <c r="F22" i="10" s="1"/>
  <c r="E21" i="10"/>
  <c r="F21" i="10" s="1"/>
  <c r="E20" i="10"/>
  <c r="F20" i="10" s="1"/>
  <c r="E19" i="10"/>
  <c r="E18" i="10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E11" i="10"/>
  <c r="E10" i="10"/>
  <c r="F10" i="10" s="1"/>
  <c r="E8" i="10"/>
  <c r="E23" i="7"/>
  <c r="E22" i="7"/>
  <c r="F22" i="7" s="1"/>
  <c r="E21" i="7"/>
  <c r="F21" i="7" s="1"/>
  <c r="E20" i="7"/>
  <c r="F20" i="7" s="1"/>
  <c r="E19" i="7"/>
  <c r="E18" i="7"/>
  <c r="E17" i="7"/>
  <c r="F17" i="7" s="1"/>
  <c r="E16" i="7"/>
  <c r="F16" i="7" s="1"/>
  <c r="E15" i="7"/>
  <c r="F15" i="7" s="1"/>
  <c r="E14" i="7"/>
  <c r="F14" i="7" s="1"/>
  <c r="E13" i="7"/>
  <c r="F13" i="7" s="1"/>
  <c r="E12" i="7"/>
  <c r="E11" i="7"/>
  <c r="E10" i="7"/>
  <c r="F10" i="7" s="1"/>
  <c r="E8" i="7"/>
  <c r="E23" i="3"/>
  <c r="E22" i="3"/>
  <c r="F22" i="3" s="1"/>
  <c r="E21" i="3"/>
  <c r="F21" i="3" s="1"/>
  <c r="E20" i="3"/>
  <c r="F20" i="3" s="1"/>
  <c r="E19" i="3"/>
  <c r="E18" i="3"/>
  <c r="E17" i="3"/>
  <c r="F17" i="3" s="1"/>
  <c r="E16" i="3"/>
  <c r="F16" i="3" s="1"/>
  <c r="E15" i="3"/>
  <c r="F15" i="3" s="1"/>
  <c r="E14" i="3"/>
  <c r="F14" i="3" s="1"/>
  <c r="E13" i="3"/>
  <c r="F13" i="3" s="1"/>
  <c r="E12" i="3"/>
  <c r="E10" i="3"/>
  <c r="F10" i="3" s="1"/>
  <c r="E8" i="3"/>
  <c r="E24" i="13"/>
  <c r="E23" i="13"/>
  <c r="F23" i="13" s="1"/>
  <c r="E22" i="13"/>
  <c r="F22" i="13" s="1"/>
  <c r="E21" i="13"/>
  <c r="F21" i="13" s="1"/>
  <c r="E20" i="13"/>
  <c r="E19" i="13"/>
  <c r="E18" i="13"/>
  <c r="F18" i="13" s="1"/>
  <c r="E17" i="13"/>
  <c r="F17" i="13" s="1"/>
  <c r="E16" i="13"/>
  <c r="F16" i="13" s="1"/>
  <c r="E15" i="13"/>
  <c r="F15" i="13" s="1"/>
  <c r="E14" i="13"/>
  <c r="F14" i="13" s="1"/>
  <c r="E13" i="13"/>
  <c r="E12" i="13"/>
  <c r="E11" i="13"/>
  <c r="F11" i="13" s="1"/>
  <c r="E9" i="13"/>
  <c r="E25" i="2"/>
  <c r="E24" i="2"/>
  <c r="F24" i="2" s="1"/>
  <c r="E23" i="2"/>
  <c r="F23" i="2" s="1"/>
  <c r="E22" i="2"/>
  <c r="F22" i="2" s="1"/>
  <c r="E21" i="2"/>
  <c r="E20" i="2"/>
  <c r="E19" i="2"/>
  <c r="F19" i="2" s="1"/>
  <c r="E18" i="2"/>
  <c r="F18" i="2" s="1"/>
  <c r="E17" i="2"/>
  <c r="F17" i="2" s="1"/>
  <c r="E16" i="2"/>
  <c r="F16" i="2" s="1"/>
  <c r="E15" i="2"/>
  <c r="F15" i="2" s="1"/>
  <c r="E14" i="2"/>
  <c r="E13" i="2"/>
  <c r="E12" i="2"/>
  <c r="E10" i="2"/>
  <c r="F10" i="2"/>
  <c r="N81" i="15"/>
  <c r="N80" i="15"/>
  <c r="N79" i="15"/>
  <c r="N78" i="15"/>
  <c r="N77" i="15"/>
  <c r="N82" i="15" s="1"/>
  <c r="N85" i="15" s="1"/>
  <c r="N86" i="15" s="1"/>
  <c r="N87" i="15" s="1"/>
  <c r="N75" i="15"/>
  <c r="D81" i="15"/>
  <c r="D80" i="15"/>
  <c r="D79" i="15"/>
  <c r="D78" i="15"/>
  <c r="D77" i="15"/>
  <c r="D82" i="15" s="1"/>
  <c r="D75" i="15"/>
  <c r="F9" i="14"/>
  <c r="F9" i="24"/>
  <c r="F8" i="10"/>
  <c r="F8" i="7"/>
  <c r="F8" i="3"/>
  <c r="K10" i="13"/>
  <c r="H85" i="15"/>
  <c r="G33" i="15"/>
  <c r="H33" i="15"/>
  <c r="H32" i="15"/>
  <c r="G32" i="15"/>
  <c r="F32" i="15"/>
  <c r="F33" i="15"/>
  <c r="C25" i="27"/>
  <c r="K13" i="27"/>
  <c r="K12" i="27"/>
  <c r="K11" i="27"/>
  <c r="K10" i="27"/>
  <c r="I33" i="15" s="1"/>
  <c r="K9" i="27"/>
  <c r="K14" i="27" s="1"/>
  <c r="K7" i="27"/>
  <c r="F7" i="27"/>
  <c r="I20" i="9"/>
  <c r="J20" i="2"/>
  <c r="C35" i="15"/>
  <c r="K34" i="15"/>
  <c r="L34" i="15"/>
  <c r="M34" i="15"/>
  <c r="K29" i="15"/>
  <c r="K30" i="15"/>
  <c r="K31" i="15"/>
  <c r="K32" i="15"/>
  <c r="G12" i="15"/>
  <c r="K13" i="7"/>
  <c r="N34" i="15" s="1"/>
  <c r="E25" i="12"/>
  <c r="F25" i="12"/>
  <c r="E26" i="12"/>
  <c r="F26" i="12"/>
  <c r="E28" i="12"/>
  <c r="F28" i="12"/>
  <c r="E30" i="12"/>
  <c r="F30" i="12"/>
  <c r="E22" i="12"/>
  <c r="F22" i="12"/>
  <c r="E23" i="12"/>
  <c r="F23" i="12"/>
  <c r="E24" i="12"/>
  <c r="F24" i="12"/>
  <c r="E27" i="12"/>
  <c r="F27" i="12"/>
  <c r="E29" i="12"/>
  <c r="F29" i="12"/>
  <c r="E31" i="12"/>
  <c r="H86" i="15"/>
  <c r="C16" i="15"/>
  <c r="D6" i="22"/>
  <c r="D7" i="22"/>
  <c r="I5" i="22"/>
  <c r="I7" i="22"/>
  <c r="I49" i="21"/>
  <c r="B35" i="15"/>
  <c r="B34" i="15"/>
  <c r="B33" i="15"/>
  <c r="B32" i="15"/>
  <c r="C41" i="15"/>
  <c r="C42" i="15"/>
  <c r="C32" i="15"/>
  <c r="C33" i="15"/>
  <c r="C34" i="15"/>
  <c r="C36" i="15"/>
  <c r="H77" i="15"/>
  <c r="H78" i="15"/>
  <c r="H79" i="15"/>
  <c r="H80" i="15"/>
  <c r="H81" i="15"/>
  <c r="H16" i="15"/>
  <c r="C24" i="8"/>
  <c r="F16" i="8"/>
  <c r="F9" i="19"/>
  <c r="E32" i="12"/>
  <c r="E21" i="12"/>
  <c r="F21" i="12" s="1"/>
  <c r="E20" i="12"/>
  <c r="F20" i="12" s="1"/>
  <c r="E19" i="12"/>
  <c r="F19" i="12" s="1"/>
  <c r="E18" i="12"/>
  <c r="F18" i="12" s="1"/>
  <c r="E17" i="12"/>
  <c r="F17" i="12" s="1"/>
  <c r="E16" i="12"/>
  <c r="E15" i="12"/>
  <c r="E14" i="12"/>
  <c r="F14" i="12" s="1"/>
  <c r="E13" i="12"/>
  <c r="F13" i="12" s="1"/>
  <c r="E12" i="12"/>
  <c r="F12" i="12" s="1"/>
  <c r="E11" i="12"/>
  <c r="F11" i="12" s="1"/>
  <c r="E10" i="12"/>
  <c r="F10" i="12" s="1"/>
  <c r="E9" i="12"/>
  <c r="E8" i="12"/>
  <c r="C25" i="24"/>
  <c r="K13" i="24"/>
  <c r="I81" i="15" s="1"/>
  <c r="K12" i="24"/>
  <c r="I80" i="15" s="1"/>
  <c r="K11" i="24"/>
  <c r="I79" i="15" s="1"/>
  <c r="K10" i="24"/>
  <c r="I78" i="15" s="1"/>
  <c r="K9" i="24"/>
  <c r="I77" i="15" s="1"/>
  <c r="K7" i="24"/>
  <c r="F7" i="24"/>
  <c r="D10" i="9"/>
  <c r="E10" i="9" s="1"/>
  <c r="D12" i="9"/>
  <c r="D13" i="9"/>
  <c r="D14" i="9"/>
  <c r="D15" i="9"/>
  <c r="E15" i="9" s="1"/>
  <c r="D16" i="9"/>
  <c r="E16" i="9" s="1"/>
  <c r="D17" i="9"/>
  <c r="E17" i="9" s="1"/>
  <c r="D18" i="9"/>
  <c r="E18" i="9" s="1"/>
  <c r="D19" i="9"/>
  <c r="E19" i="9" s="1"/>
  <c r="D20" i="9"/>
  <c r="D21" i="9"/>
  <c r="D22" i="9"/>
  <c r="E22" i="9" s="1"/>
  <c r="D23" i="9"/>
  <c r="E23" i="9" s="1"/>
  <c r="D24" i="9"/>
  <c r="E24" i="9" s="1"/>
  <c r="D25" i="9"/>
  <c r="C68" i="15"/>
  <c r="F9" i="13"/>
  <c r="F10" i="15"/>
  <c r="G10" i="15"/>
  <c r="H10" i="15"/>
  <c r="J14" i="9"/>
  <c r="I10" i="15" s="1"/>
  <c r="F24" i="3"/>
  <c r="D23" i="23"/>
  <c r="D22" i="23"/>
  <c r="D24" i="23" s="1"/>
  <c r="D20" i="23"/>
  <c r="D6" i="23"/>
  <c r="D5" i="23"/>
  <c r="D7" i="23" s="1"/>
  <c r="D3" i="23"/>
  <c r="M39" i="15"/>
  <c r="K11" i="3"/>
  <c r="I45" i="21"/>
  <c r="I44" i="21"/>
  <c r="I46" i="21" s="1"/>
  <c r="I42" i="21"/>
  <c r="I59" i="21"/>
  <c r="I58" i="21"/>
  <c r="I57" i="21"/>
  <c r="I60" i="21" s="1"/>
  <c r="I63" i="21" s="1"/>
  <c r="I64" i="21" s="1"/>
  <c r="I65" i="21" s="1"/>
  <c r="I55" i="21"/>
  <c r="I72" i="21"/>
  <c r="I71" i="21"/>
  <c r="I73" i="21" s="1"/>
  <c r="I76" i="21" s="1"/>
  <c r="I77" i="21" s="1"/>
  <c r="I69" i="21"/>
  <c r="D59" i="21"/>
  <c r="D58" i="21"/>
  <c r="D57" i="21"/>
  <c r="D60" i="21" s="1"/>
  <c r="D63" i="21" s="1"/>
  <c r="D64" i="21" s="1"/>
  <c r="D65" i="21" s="1"/>
  <c r="D55" i="21"/>
  <c r="D72" i="21"/>
  <c r="D71" i="21"/>
  <c r="D73" i="21" s="1"/>
  <c r="D69" i="21"/>
  <c r="I6" i="22"/>
  <c r="I3" i="22"/>
  <c r="D3" i="22"/>
  <c r="D45" i="21"/>
  <c r="D44" i="21"/>
  <c r="D46" i="21" s="1"/>
  <c r="D42" i="21"/>
  <c r="I32" i="21"/>
  <c r="D32" i="21"/>
  <c r="I31" i="21"/>
  <c r="I33" i="21" s="1"/>
  <c r="I36" i="21" s="1"/>
  <c r="I37" i="21" s="1"/>
  <c r="I38" i="21" s="1"/>
  <c r="D31" i="21"/>
  <c r="D33" i="21" s="1"/>
  <c r="D36" i="21" s="1"/>
  <c r="D37" i="21" s="1"/>
  <c r="D38" i="21" s="1"/>
  <c r="I29" i="21"/>
  <c r="D29" i="21"/>
  <c r="I19" i="21"/>
  <c r="D19" i="21"/>
  <c r="I18" i="21"/>
  <c r="D18" i="21"/>
  <c r="D20" i="21" s="1"/>
  <c r="D23" i="21" s="1"/>
  <c r="D24" i="21" s="1"/>
  <c r="D25" i="21" s="1"/>
  <c r="I16" i="21"/>
  <c r="D16" i="21"/>
  <c r="I5" i="21"/>
  <c r="I6" i="21"/>
  <c r="D5" i="21"/>
  <c r="D6" i="21"/>
  <c r="I3" i="21"/>
  <c r="D3" i="21"/>
  <c r="M64" i="15"/>
  <c r="L64" i="15"/>
  <c r="G62" i="15"/>
  <c r="K13" i="13"/>
  <c r="N64" i="15" s="1"/>
  <c r="K12" i="3"/>
  <c r="I62" i="15" s="1"/>
  <c r="K13" i="3"/>
  <c r="C70" i="15"/>
  <c r="C71" i="15"/>
  <c r="H35" i="15"/>
  <c r="K11" i="14"/>
  <c r="D34" i="15" s="1"/>
  <c r="K16" i="2"/>
  <c r="K11" i="7"/>
  <c r="H68" i="15"/>
  <c r="H69" i="15"/>
  <c r="C25" i="19"/>
  <c r="K13" i="19"/>
  <c r="K12" i="19"/>
  <c r="I35" i="15" s="1"/>
  <c r="K11" i="19"/>
  <c r="K10" i="19"/>
  <c r="K9" i="19"/>
  <c r="K7" i="19"/>
  <c r="F7" i="19"/>
  <c r="J11" i="9"/>
  <c r="J13" i="9"/>
  <c r="A8" i="15"/>
  <c r="M70" i="15"/>
  <c r="M71" i="15"/>
  <c r="K11" i="2"/>
  <c r="K13" i="2"/>
  <c r="K14" i="2"/>
  <c r="C18" i="15" s="1"/>
  <c r="K15" i="2"/>
  <c r="G56" i="15"/>
  <c r="L63" i="15"/>
  <c r="L62" i="15"/>
  <c r="L61" i="15"/>
  <c r="L60" i="15"/>
  <c r="G61" i="15"/>
  <c r="G60" i="15"/>
  <c r="G59" i="15"/>
  <c r="G58" i="15"/>
  <c r="B62" i="15"/>
  <c r="B63" i="15"/>
  <c r="B61" i="15"/>
  <c r="F8" i="15"/>
  <c r="H8" i="15"/>
  <c r="I8" i="15"/>
  <c r="M60" i="15"/>
  <c r="M61" i="15"/>
  <c r="M62" i="15"/>
  <c r="M63" i="15"/>
  <c r="M65" i="15"/>
  <c r="H58" i="15"/>
  <c r="H59" i="15"/>
  <c r="H60" i="15"/>
  <c r="H61" i="15"/>
  <c r="H63" i="15"/>
  <c r="C69" i="15"/>
  <c r="C64" i="15"/>
  <c r="C62" i="15"/>
  <c r="C61" i="15"/>
  <c r="C60" i="15"/>
  <c r="K11" i="8"/>
  <c r="K9" i="15"/>
  <c r="L9" i="15"/>
  <c r="M9" i="15"/>
  <c r="K12" i="16"/>
  <c r="D64" i="15" s="1"/>
  <c r="K11" i="16"/>
  <c r="D63" i="15" s="1"/>
  <c r="K10" i="16"/>
  <c r="D62" i="15" s="1"/>
  <c r="K9" i="16"/>
  <c r="D61" i="15" s="1"/>
  <c r="K8" i="16"/>
  <c r="D60" i="15" s="1"/>
  <c r="D65" i="15" s="1"/>
  <c r="K6" i="16"/>
  <c r="F6" i="16"/>
  <c r="K8" i="2"/>
  <c r="J8" i="9"/>
  <c r="M40" i="15"/>
  <c r="L29" i="15"/>
  <c r="M29" i="15"/>
  <c r="L30" i="15"/>
  <c r="M30" i="15"/>
  <c r="L31" i="15"/>
  <c r="M31" i="15"/>
  <c r="L32" i="15"/>
  <c r="M32" i="15"/>
  <c r="L33" i="15"/>
  <c r="M33" i="15"/>
  <c r="B12" i="15"/>
  <c r="F7" i="15"/>
  <c r="F9" i="15"/>
  <c r="F11" i="15"/>
  <c r="M14" i="15"/>
  <c r="M15" i="15"/>
  <c r="M16" i="15"/>
  <c r="K7" i="15"/>
  <c r="L7" i="15"/>
  <c r="M7" i="15"/>
  <c r="K8" i="15"/>
  <c r="L8" i="15"/>
  <c r="M8" i="15"/>
  <c r="L10" i="15"/>
  <c r="M10" i="15"/>
  <c r="L6" i="15"/>
  <c r="M6" i="15"/>
  <c r="K6" i="15"/>
  <c r="C25" i="14"/>
  <c r="C25" i="13"/>
  <c r="C24" i="3"/>
  <c r="C24" i="10"/>
  <c r="E31" i="2"/>
  <c r="C26" i="2"/>
  <c r="G7" i="15"/>
  <c r="H7" i="15"/>
  <c r="G9" i="15"/>
  <c r="H9" i="15"/>
  <c r="G11" i="15"/>
  <c r="G6" i="15"/>
  <c r="H6" i="15"/>
  <c r="F6" i="15"/>
  <c r="C6" i="15"/>
  <c r="B7" i="15"/>
  <c r="C7" i="15"/>
  <c r="B8" i="15"/>
  <c r="C8" i="15"/>
  <c r="B9" i="15"/>
  <c r="C9" i="15"/>
  <c r="B10" i="15"/>
  <c r="C10" i="15"/>
  <c r="B11" i="15"/>
  <c r="C11" i="15"/>
  <c r="B4" i="15"/>
  <c r="C4" i="15"/>
  <c r="A4" i="15"/>
  <c r="A2" i="15"/>
  <c r="K13" i="14"/>
  <c r="D36" i="15" s="1"/>
  <c r="K12" i="14"/>
  <c r="D35" i="15" s="1"/>
  <c r="K10" i="14"/>
  <c r="D33" i="15" s="1"/>
  <c r="K9" i="14"/>
  <c r="D32" i="15" s="1"/>
  <c r="K7" i="14"/>
  <c r="K14" i="13"/>
  <c r="K12" i="13"/>
  <c r="N63" i="15" s="1"/>
  <c r="K11" i="13"/>
  <c r="N62" i="15" s="1"/>
  <c r="N61" i="15"/>
  <c r="K9" i="13"/>
  <c r="N60" i="15" s="1"/>
  <c r="K7" i="13"/>
  <c r="K13" i="8"/>
  <c r="K12" i="8"/>
  <c r="K10" i="8"/>
  <c r="K9" i="8"/>
  <c r="K7" i="8"/>
  <c r="K12" i="7"/>
  <c r="N33" i="15" s="1"/>
  <c r="N32" i="15"/>
  <c r="K10" i="7"/>
  <c r="N31" i="15" s="1"/>
  <c r="K9" i="7"/>
  <c r="N30" i="15" s="1"/>
  <c r="K8" i="7"/>
  <c r="K6" i="7"/>
  <c r="I63" i="15"/>
  <c r="I61" i="15"/>
  <c r="K10" i="3"/>
  <c r="I60" i="15" s="1"/>
  <c r="K9" i="3"/>
  <c r="I59" i="15" s="1"/>
  <c r="K8" i="3"/>
  <c r="I58" i="15" s="1"/>
  <c r="I64" i="15" s="1"/>
  <c r="K6" i="3"/>
  <c r="K12" i="10"/>
  <c r="N10" i="15" s="1"/>
  <c r="J16" i="9"/>
  <c r="I12" i="15" s="1"/>
  <c r="J15" i="9"/>
  <c r="I11" i="15" s="1"/>
  <c r="I9" i="15"/>
  <c r="I7" i="15"/>
  <c r="J10" i="9"/>
  <c r="I6" i="15" s="1"/>
  <c r="I13" i="15" s="1"/>
  <c r="K6" i="10"/>
  <c r="D9" i="15"/>
  <c r="F7" i="13"/>
  <c r="F7" i="14"/>
  <c r="E8" i="9"/>
  <c r="D11" i="15"/>
  <c r="D7" i="15"/>
  <c r="K9" i="10"/>
  <c r="N7" i="15" s="1"/>
  <c r="K8" i="10"/>
  <c r="N6" i="15" s="1"/>
  <c r="F6" i="10"/>
  <c r="F6" i="8"/>
  <c r="F6" i="7"/>
  <c r="F6" i="3"/>
  <c r="K10" i="2"/>
  <c r="D6" i="15" s="1"/>
  <c r="F8" i="2"/>
  <c r="K17" i="27" l="1"/>
  <c r="I36" i="15"/>
  <c r="E25" i="27"/>
  <c r="F9" i="27"/>
  <c r="F25" i="27" s="1"/>
  <c r="E27" i="27" s="1"/>
  <c r="F24" i="7"/>
  <c r="I75" i="15"/>
  <c r="D30" i="15"/>
  <c r="E25" i="19"/>
  <c r="K14" i="24"/>
  <c r="E25" i="24"/>
  <c r="F25" i="24"/>
  <c r="E27" i="24" s="1"/>
  <c r="D26" i="9"/>
  <c r="F26" i="2"/>
  <c r="I20" i="21"/>
  <c r="I23" i="21" s="1"/>
  <c r="I24" i="21" s="1"/>
  <c r="I25" i="21" s="1"/>
  <c r="D49" i="21"/>
  <c r="D50" i="21" s="1"/>
  <c r="D51" i="21" s="1"/>
  <c r="I50" i="21"/>
  <c r="I51" i="21" s="1"/>
  <c r="I78" i="21"/>
  <c r="D77" i="21"/>
  <c r="D76" i="21"/>
  <c r="D78" i="21" s="1"/>
  <c r="I8" i="22"/>
  <c r="I11" i="22" s="1"/>
  <c r="I12" i="22" s="1"/>
  <c r="I13" i="22" s="1"/>
  <c r="D8" i="22"/>
  <c r="D11" i="22" s="1"/>
  <c r="D12" i="22" s="1"/>
  <c r="D13" i="22" s="1"/>
  <c r="I17" i="22" s="1"/>
  <c r="I7" i="21"/>
  <c r="I10" i="21" s="1"/>
  <c r="I11" i="21" s="1"/>
  <c r="I12" i="21" s="1"/>
  <c r="D7" i="21"/>
  <c r="N4" i="15"/>
  <c r="I56" i="15"/>
  <c r="N27" i="15"/>
  <c r="N58" i="15"/>
  <c r="I4" i="15"/>
  <c r="D4" i="15"/>
  <c r="D58" i="15"/>
  <c r="I30" i="15"/>
  <c r="N65" i="15"/>
  <c r="N66" i="15"/>
  <c r="E26" i="9"/>
  <c r="D27" i="9"/>
  <c r="K14" i="19"/>
  <c r="F25" i="19"/>
  <c r="E27" i="19" s="1"/>
  <c r="E24" i="8"/>
  <c r="E24" i="3"/>
  <c r="E25" i="3" s="1"/>
  <c r="E26" i="2"/>
  <c r="E25" i="14"/>
  <c r="E33" i="12"/>
  <c r="E24" i="10"/>
  <c r="E26" i="7"/>
  <c r="E24" i="7"/>
  <c r="K13" i="16"/>
  <c r="K16" i="16" s="1"/>
  <c r="D68" i="15" s="1"/>
  <c r="E24" i="16"/>
  <c r="F24" i="16"/>
  <c r="E26" i="16" s="1"/>
  <c r="K14" i="7"/>
  <c r="K17" i="7" s="1"/>
  <c r="N29" i="15"/>
  <c r="E25" i="13"/>
  <c r="K14" i="8"/>
  <c r="K14" i="14"/>
  <c r="D37" i="15" s="1"/>
  <c r="N35" i="15"/>
  <c r="D12" i="15"/>
  <c r="F25" i="14"/>
  <c r="E27" i="14" s="1"/>
  <c r="F25" i="13"/>
  <c r="F33" i="12"/>
  <c r="F24" i="8"/>
  <c r="E26" i="8" s="1"/>
  <c r="E25" i="7"/>
  <c r="E26" i="3"/>
  <c r="K15" i="13"/>
  <c r="K18" i="13" s="1"/>
  <c r="N69" i="15" s="1"/>
  <c r="J17" i="9"/>
  <c r="J20" i="9" s="1"/>
  <c r="J21" i="9" s="1"/>
  <c r="K14" i="3"/>
  <c r="K17" i="3" s="1"/>
  <c r="I67" i="15" s="1"/>
  <c r="D10" i="15"/>
  <c r="K11" i="10"/>
  <c r="N9" i="15" s="1"/>
  <c r="K10" i="10"/>
  <c r="N8" i="15" s="1"/>
  <c r="N11" i="15" s="1"/>
  <c r="K18" i="27" l="1"/>
  <c r="I39" i="15"/>
  <c r="E26" i="27"/>
  <c r="K17" i="24"/>
  <c r="I82" i="15"/>
  <c r="E26" i="24"/>
  <c r="K17" i="14"/>
  <c r="E28" i="2"/>
  <c r="D10" i="21"/>
  <c r="D11" i="21" s="1"/>
  <c r="D12" i="21" s="1"/>
  <c r="I80" i="21" s="1"/>
  <c r="I83" i="21" s="1"/>
  <c r="I86" i="21" s="1"/>
  <c r="J22" i="9"/>
  <c r="J23" i="9" s="1"/>
  <c r="I17" i="15"/>
  <c r="K17" i="19"/>
  <c r="D85" i="15" s="1"/>
  <c r="D86" i="15" s="1"/>
  <c r="D87" i="15" s="1"/>
  <c r="K17" i="8"/>
  <c r="E26" i="19"/>
  <c r="K18" i="14"/>
  <c r="D41" i="15" s="1"/>
  <c r="K18" i="19"/>
  <c r="E26" i="13"/>
  <c r="E27" i="2"/>
  <c r="K17" i="16"/>
  <c r="E25" i="16"/>
  <c r="K18" i="7"/>
  <c r="N38" i="15"/>
  <c r="K13" i="10"/>
  <c r="K16" i="10" s="1"/>
  <c r="K19" i="13"/>
  <c r="N70" i="15" s="1"/>
  <c r="K18" i="3"/>
  <c r="I68" i="15" s="1"/>
  <c r="I16" i="15"/>
  <c r="E26" i="14"/>
  <c r="E25" i="8"/>
  <c r="K17" i="2"/>
  <c r="D8" i="15"/>
  <c r="K18" i="24" l="1"/>
  <c r="K19" i="24" s="1"/>
  <c r="I85" i="15"/>
  <c r="I86" i="15" s="1"/>
  <c r="I87" i="15" s="1"/>
  <c r="K19" i="27"/>
  <c r="I41" i="15" s="1"/>
  <c r="I40" i="15"/>
  <c r="D40" i="15"/>
  <c r="D13" i="15"/>
  <c r="K20" i="2"/>
  <c r="K18" i="8"/>
  <c r="K19" i="14"/>
  <c r="D42" i="15" s="1"/>
  <c r="K19" i="19"/>
  <c r="D16" i="15"/>
  <c r="K21" i="2"/>
  <c r="K18" i="16"/>
  <c r="D70" i="15" s="1"/>
  <c r="D69" i="15"/>
  <c r="K19" i="7"/>
  <c r="N40" i="15" s="1"/>
  <c r="N39" i="15"/>
  <c r="K17" i="10"/>
  <c r="N15" i="15" s="1"/>
  <c r="N14" i="15"/>
  <c r="K20" i="13"/>
  <c r="N71" i="15" s="1"/>
  <c r="K19" i="3"/>
  <c r="I69" i="15" s="1"/>
  <c r="I19" i="15"/>
  <c r="I18" i="15"/>
  <c r="K19" i="8" l="1"/>
  <c r="D17" i="15"/>
  <c r="K22" i="2"/>
  <c r="K18" i="10"/>
  <c r="N16" i="15" s="1"/>
  <c r="I20" i="15"/>
  <c r="D18" i="15" l="1"/>
  <c r="K23" i="2"/>
  <c r="F24" i="10"/>
  <c r="E25" i="10" s="1"/>
  <c r="D19" i="15" l="1"/>
  <c r="K24" i="2"/>
  <c r="D20" i="15" s="1"/>
  <c r="E26" i="10"/>
</calcChain>
</file>

<file path=xl/sharedStrings.xml><?xml version="1.0" encoding="utf-8"?>
<sst xmlns="http://schemas.openxmlformats.org/spreadsheetml/2006/main" count="1422" uniqueCount="194">
  <si>
    <t>CUADRO DE DIAS LABORADOS</t>
  </si>
  <si>
    <t>DESDE</t>
  </si>
  <si>
    <t>HASTA</t>
  </si>
  <si>
    <t>PRERIODO LABORAL</t>
  </si>
  <si>
    <t>NOMBRE DE EMPLEADO</t>
  </si>
  <si>
    <t>LEO</t>
  </si>
  <si>
    <t>RANGO HORARIO</t>
  </si>
  <si>
    <t>HORAS</t>
  </si>
  <si>
    <t>DETALLE DE QUINCENA</t>
  </si>
  <si>
    <t>FECHA:</t>
  </si>
  <si>
    <t>NOMBRE:</t>
  </si>
  <si>
    <t>FECHA</t>
  </si>
  <si>
    <t>ENTRADA</t>
  </si>
  <si>
    <t>SALIDA</t>
  </si>
  <si>
    <t>TOTAL</t>
  </si>
  <si>
    <t>EXTRAS</t>
  </si>
  <si>
    <t>CONCEPTO</t>
  </si>
  <si>
    <t>VALOR</t>
  </si>
  <si>
    <t>CANTIDAD</t>
  </si>
  <si>
    <t>SUB TOTAL</t>
  </si>
  <si>
    <t>HORA SIMPLE</t>
  </si>
  <si>
    <t>HORA EXTRA</t>
  </si>
  <si>
    <t>HORA RECIBO</t>
  </si>
  <si>
    <t>VIATICOS</t>
  </si>
  <si>
    <t>CATEGORIA</t>
  </si>
  <si>
    <t>PREMIO</t>
  </si>
  <si>
    <t>Total</t>
  </si>
  <si>
    <t>DESCUENTOS</t>
  </si>
  <si>
    <t xml:space="preserve">DP Sueldo </t>
  </si>
  <si>
    <t>PRESTAMO</t>
  </si>
  <si>
    <t>ADELANTO</t>
  </si>
  <si>
    <t>FIRMA CONFORME ___________________________</t>
  </si>
  <si>
    <t>HORAS RECIBO</t>
  </si>
  <si>
    <t>HORAS EXTRAS</t>
  </si>
  <si>
    <t>DIAS HABILES</t>
  </si>
  <si>
    <t>DIAS</t>
  </si>
  <si>
    <t>SABADOS</t>
  </si>
  <si>
    <t>HORAS SIMPLES</t>
  </si>
  <si>
    <t>HORAS EXTRAS A PAGAR:</t>
  </si>
  <si>
    <t>No:</t>
  </si>
  <si>
    <t> </t>
  </si>
  <si>
    <t>Nom.</t>
  </si>
  <si>
    <t>LEO SOTO</t>
  </si>
  <si>
    <t>06:38
17:20</t>
  </si>
  <si>
    <t>07:00
17:15</t>
  </si>
  <si>
    <t>06:31
14:03</t>
  </si>
  <si>
    <t>06:16
16:54</t>
  </si>
  <si>
    <t>06:22
16:57</t>
  </si>
  <si>
    <t>06:50
17:57</t>
  </si>
  <si>
    <t>06:49
17:02</t>
  </si>
  <si>
    <t>06:59
17:49</t>
  </si>
  <si>
    <t>06:48
17:08</t>
  </si>
  <si>
    <t>06:47
18:29</t>
  </si>
  <si>
    <t>GABRIEL</t>
  </si>
  <si>
    <t>HORA DE RECIBO</t>
  </si>
  <si>
    <t xml:space="preserve">CATEGORIA </t>
  </si>
  <si>
    <t>DEPOSITO RECIBO</t>
  </si>
  <si>
    <t>FALTAS</t>
  </si>
  <si>
    <t>06:24
17:25</t>
  </si>
  <si>
    <t>07:27
17:00</t>
  </si>
  <si>
    <t>06:14
17:15</t>
  </si>
  <si>
    <t>06:16
06:17
17:02</t>
  </si>
  <si>
    <t>06:10
18:05</t>
  </si>
  <si>
    <t>06:16
17:14</t>
  </si>
  <si>
    <t>06:26
17:17</t>
  </si>
  <si>
    <t>07:09
11:29</t>
  </si>
  <si>
    <t>06:11
17:09</t>
  </si>
  <si>
    <t>06:33
18:08</t>
  </si>
  <si>
    <t>DANIEL</t>
  </si>
  <si>
    <t>06:38
17:21</t>
  </si>
  <si>
    <t>05:39
17:00
17:04</t>
  </si>
  <si>
    <t>06:31
13:57</t>
  </si>
  <si>
    <t>06:44
18:09</t>
  </si>
  <si>
    <t>06:59
06:59
17:49</t>
  </si>
  <si>
    <t>06:47
17:11</t>
  </si>
  <si>
    <t>06:47
18:23</t>
  </si>
  <si>
    <t>ISAIAS</t>
  </si>
  <si>
    <t>05:46
17:24</t>
  </si>
  <si>
    <t>06:58
17:00</t>
  </si>
  <si>
    <t>06:16
17:03</t>
  </si>
  <si>
    <t>06:11
16:55</t>
  </si>
  <si>
    <t>06:16
06:47
17:13</t>
  </si>
  <si>
    <t>06:26
17:16</t>
  </si>
  <si>
    <t>06:48
11:28</t>
  </si>
  <si>
    <t>06:11
06:48
17:10</t>
  </si>
  <si>
    <t>WALTER</t>
  </si>
  <si>
    <t>06:48
17:22</t>
  </si>
  <si>
    <t>05:39
17:15</t>
  </si>
  <si>
    <t>06:25
15:52</t>
  </si>
  <si>
    <t>06:20
18:08</t>
  </si>
  <si>
    <t>06:44
19:07</t>
  </si>
  <si>
    <t>06:54
17:49</t>
  </si>
  <si>
    <t>MIGUEL</t>
  </si>
  <si>
    <t>DETALLE</t>
  </si>
  <si>
    <t>06:38
16:57</t>
  </si>
  <si>
    <t>07:00
15:08</t>
  </si>
  <si>
    <t>06:27
16:54</t>
  </si>
  <si>
    <t>06:31
16:55</t>
  </si>
  <si>
    <t>06:23
16:55</t>
  </si>
  <si>
    <t>06:33
16:54</t>
  </si>
  <si>
    <t>06:40
16:56</t>
  </si>
  <si>
    <t>06:35
16:55</t>
  </si>
  <si>
    <t>06:34
17:55</t>
  </si>
  <si>
    <t xml:space="preserve">ALAN </t>
  </si>
  <si>
    <t xml:space="preserve"> </t>
  </si>
  <si>
    <t>ALAM</t>
  </si>
  <si>
    <t>06:38
17:18</t>
  </si>
  <si>
    <t>06:23
18:08</t>
  </si>
  <si>
    <t>07:49
18:05</t>
  </si>
  <si>
    <t>06:49
17:01</t>
  </si>
  <si>
    <t>06:46
18:25</t>
  </si>
  <si>
    <t>EZEQUIEL</t>
  </si>
  <si>
    <t>Fede: El premio es de lunes a a viernes</t>
  </si>
  <si>
    <t>Fede: Incluyendo los feriados</t>
  </si>
  <si>
    <t>07:02
17:20</t>
  </si>
  <si>
    <t>07:01
17:10</t>
  </si>
  <si>
    <t>07:07
16:15</t>
  </si>
  <si>
    <t>07:09
17:02</t>
  </si>
  <si>
    <t>07:16
16:18</t>
  </si>
  <si>
    <t>07:13
17:10</t>
  </si>
  <si>
    <t>JUNIOR</t>
  </si>
  <si>
    <t xml:space="preserve">  </t>
  </si>
  <si>
    <t xml:space="preserve">          </t>
  </si>
  <si>
    <t>CESAR</t>
  </si>
  <si>
    <t>07:09
18:00</t>
  </si>
  <si>
    <t>06:35
17:16</t>
  </si>
  <si>
    <t>06:59
17:01</t>
  </si>
  <si>
    <t>07:06
16:49</t>
  </si>
  <si>
    <t>07:00
16:54</t>
  </si>
  <si>
    <t xml:space="preserve">JOSE </t>
  </si>
  <si>
    <t>MES DE ABRIL</t>
  </si>
  <si>
    <t xml:space="preserve">1ra QUINCENA </t>
  </si>
  <si>
    <t>JOSE</t>
  </si>
  <si>
    <t>06:38
18:16</t>
  </si>
  <si>
    <t>06:54
16:58</t>
  </si>
  <si>
    <t>06:41
16:58</t>
  </si>
  <si>
    <t>06:38
17:00</t>
  </si>
  <si>
    <t>06:42
18:01</t>
  </si>
  <si>
    <t>06:54
12:42</t>
  </si>
  <si>
    <t>06:17
17:07</t>
  </si>
  <si>
    <t>06:38
17:07</t>
  </si>
  <si>
    <t>KEVIN</t>
  </si>
  <si>
    <t>VIATICO</t>
  </si>
  <si>
    <t>06:48
12:12</t>
  </si>
  <si>
    <t>06:37
17:00</t>
  </si>
  <si>
    <t>06:20
16:57</t>
  </si>
  <si>
    <t>06:47
17:00</t>
  </si>
  <si>
    <t>06:36
16:57</t>
  </si>
  <si>
    <t>06:36
16:59</t>
  </si>
  <si>
    <t>RENZO</t>
  </si>
  <si>
    <t>PRODUCCION</t>
  </si>
  <si>
    <t>07:01
17:20</t>
  </si>
  <si>
    <t>07:07
16:58</t>
  </si>
  <si>
    <t>07:20
17:57
17:58</t>
  </si>
  <si>
    <t>07:05
09:35</t>
  </si>
  <si>
    <t>Columna1</t>
  </si>
  <si>
    <t>Columna2</t>
  </si>
  <si>
    <t>Columna3</t>
  </si>
  <si>
    <t>Columna4</t>
  </si>
  <si>
    <t>Columna5</t>
  </si>
  <si>
    <t>HORA SIMP</t>
  </si>
  <si>
    <t>HORA EXT</t>
  </si>
  <si>
    <t>DEPOSITO RC</t>
  </si>
  <si>
    <t>FIRMA CONFORME __________________</t>
  </si>
  <si>
    <t xml:space="preserve">FIRMA CONFORME _______________________$ </t>
  </si>
  <si>
    <t xml:space="preserve">walter </t>
  </si>
  <si>
    <t>FIRMA CONFORME _____________________</t>
  </si>
  <si>
    <t xml:space="preserve">DETALLE </t>
  </si>
  <si>
    <t>VACACIONES</t>
  </si>
  <si>
    <t>AGUINALDOS</t>
  </si>
  <si>
    <t xml:space="preserve"> TOTAL </t>
  </si>
  <si>
    <t xml:space="preserve">ADELANTO </t>
  </si>
  <si>
    <t xml:space="preserve">TOTAL </t>
  </si>
  <si>
    <t>A PAGAR</t>
  </si>
  <si>
    <t>DARIO</t>
  </si>
  <si>
    <t xml:space="preserve">  TOTAL  </t>
  </si>
  <si>
    <t>FRANCISCO</t>
  </si>
  <si>
    <t>ALAN</t>
  </si>
  <si>
    <t>MARIA</t>
  </si>
  <si>
    <t>MELINA</t>
  </si>
  <si>
    <t>BERTHA</t>
  </si>
  <si>
    <t>ROBERTO</t>
  </si>
  <si>
    <t>SUELDO</t>
  </si>
  <si>
    <t>VALOR X DIA</t>
  </si>
  <si>
    <t xml:space="preserve">CONFORME </t>
  </si>
  <si>
    <t xml:space="preserve">FIRMA </t>
  </si>
  <si>
    <t>DICIEMBRE</t>
  </si>
  <si>
    <t>1ra Q</t>
  </si>
  <si>
    <t>DICIEM</t>
  </si>
  <si>
    <t>2da Q</t>
  </si>
  <si>
    <t xml:space="preserve">LEO </t>
  </si>
  <si>
    <t>ENER</t>
  </si>
  <si>
    <t>FEBR</t>
  </si>
  <si>
    <t>MARZ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</si>
</sst>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&quot;$&quot;\ #,##0;[Red]\-&quot;$&quot;\ #,##0"/>
    <numFmt numFmtId="166" formatCode="_-&quot;$&quot;\ * #,##0.00_-;\-&quot;$&quot;\ * #,##0.00_-;_-&quot;$&quot;\ * &quot;-&quot;??_-;_-@_-"/>
    <numFmt numFmtId="167" formatCode="[$-F800]dddd\,\ mmmm\ dd\,\ yyyy"/>
    <numFmt numFmtId="168" formatCode="dd/mm/yy;@"/>
    <numFmt numFmtId="169" formatCode="_-* #,##0_-;\-* #,##0_-;_-* &quot;-&quot;??_-;_-@_-"/>
    <numFmt numFmtId="170" formatCode="[$$-2C0A]\ 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haroni"/>
      <charset val="177"/>
    </font>
    <font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theme="3" tint="-0.249977111117893"/>
      <name val="Calibri"/>
      <family val="2"/>
      <scheme val="minor"/>
    </font>
    <font>
      <sz val="12"/>
      <color theme="1"/>
      <name val="Bodoni MT"/>
    </font>
    <font>
      <sz val="11"/>
      <color theme="1"/>
      <name val="Bodoni MT"/>
    </font>
    <font>
      <sz val="12"/>
      <color rgb="FF000000"/>
      <name val="宋体"/>
      <charset val="129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Bodoni MT"/>
    </font>
    <font>
      <sz val="16"/>
      <color theme="1"/>
      <name val="Bodoni MT"/>
      <family val="1"/>
    </font>
    <font>
      <sz val="16"/>
      <color theme="1"/>
      <name val="Bodoni MT"/>
    </font>
    <font>
      <sz val="16"/>
      <color theme="1"/>
      <name val="Browallia nuevo"/>
    </font>
    <font>
      <sz val="12"/>
      <color theme="1"/>
      <name val="Browallia nuevo"/>
    </font>
    <font>
      <sz val="14"/>
      <color theme="1"/>
      <name val="Browallia nuevo"/>
    </font>
    <font>
      <sz val="18"/>
      <color theme="1"/>
      <name val="Bodoni MT"/>
    </font>
    <font>
      <sz val="8"/>
      <name val="Arial"/>
      <charset val="136"/>
    </font>
    <font>
      <sz val="14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theme="1"/>
      </top>
      <bottom style="medium">
        <color theme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double">
        <color theme="1"/>
      </top>
      <bottom style="medium">
        <color theme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8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7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7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5" borderId="0" applyNumberFormat="0" applyBorder="0" applyAlignment="0" applyProtection="0"/>
  </cellStyleXfs>
  <cellXfs count="253">
    <xf numFmtId="0" fontId="0" fillId="0" borderId="0" xfId="0"/>
    <xf numFmtId="20" fontId="0" fillId="0" borderId="0" xfId="0" applyNumberFormat="1"/>
    <xf numFmtId="46" fontId="0" fillId="0" borderId="0" xfId="0" applyNumberFormat="1"/>
    <xf numFmtId="166" fontId="0" fillId="0" borderId="0" xfId="2" applyFont="1" applyFill="1" applyBorder="1"/>
    <xf numFmtId="46" fontId="9" fillId="0" borderId="3" xfId="0" applyNumberFormat="1" applyFont="1" applyBorder="1"/>
    <xf numFmtId="0" fontId="6" fillId="0" borderId="3" xfId="0" applyFont="1" applyBorder="1"/>
    <xf numFmtId="0" fontId="8" fillId="2" borderId="3" xfId="3" applyFont="1" applyBorder="1"/>
    <xf numFmtId="0" fontId="4" fillId="2" borderId="4" xfId="4" applyFont="1" applyFill="1" applyBorder="1"/>
    <xf numFmtId="0" fontId="9" fillId="0" borderId="3" xfId="0" applyFont="1" applyBorder="1"/>
    <xf numFmtId="166" fontId="0" fillId="0" borderId="0" xfId="0" applyNumberFormat="1"/>
    <xf numFmtId="168" fontId="0" fillId="0" borderId="0" xfId="0" applyNumberFormat="1"/>
    <xf numFmtId="0" fontId="10" fillId="5" borderId="5" xfId="7" applyFont="1" applyBorder="1"/>
    <xf numFmtId="0" fontId="2" fillId="6" borderId="6" xfId="8" applyBorder="1" applyAlignment="1">
      <alignment horizontal="center"/>
    </xf>
    <xf numFmtId="0" fontId="2" fillId="6" borderId="7" xfId="8" applyBorder="1" applyAlignment="1">
      <alignment horizontal="center"/>
    </xf>
    <xf numFmtId="0" fontId="2" fillId="8" borderId="8" xfId="10" applyBorder="1"/>
    <xf numFmtId="14" fontId="2" fillId="7" borderId="0" xfId="9" applyNumberFormat="1" applyBorder="1"/>
    <xf numFmtId="14" fontId="2" fillId="7" borderId="9" xfId="9" applyNumberFormat="1" applyBorder="1"/>
    <xf numFmtId="0" fontId="7" fillId="10" borderId="8" xfId="12" applyBorder="1"/>
    <xf numFmtId="0" fontId="2" fillId="4" borderId="10" xfId="6" applyBorder="1"/>
    <xf numFmtId="20" fontId="2" fillId="3" borderId="11" xfId="5" applyNumberFormat="1" applyBorder="1"/>
    <xf numFmtId="0" fontId="2" fillId="3" borderId="12" xfId="5" applyBorder="1"/>
    <xf numFmtId="164" fontId="0" fillId="0" borderId="0" xfId="1" applyFont="1"/>
    <xf numFmtId="164" fontId="0" fillId="0" borderId="0" xfId="1" applyFont="1" applyFill="1" applyBorder="1"/>
    <xf numFmtId="0" fontId="2" fillId="8" borderId="3" xfId="10" applyBorder="1" applyAlignment="1">
      <alignment horizontal="right"/>
    </xf>
    <xf numFmtId="14" fontId="0" fillId="0" borderId="3" xfId="0" applyNumberFormat="1" applyBorder="1"/>
    <xf numFmtId="0" fontId="0" fillId="14" borderId="0" xfId="0" applyFill="1"/>
    <xf numFmtId="164" fontId="0" fillId="0" borderId="0" xfId="0" applyNumberFormat="1"/>
    <xf numFmtId="0" fontId="9" fillId="0" borderId="4" xfId="0" applyFont="1" applyBorder="1"/>
    <xf numFmtId="0" fontId="6" fillId="0" borderId="13" xfId="0" applyFont="1" applyBorder="1"/>
    <xf numFmtId="0" fontId="6" fillId="9" borderId="13" xfId="11" applyFont="1" applyBorder="1"/>
    <xf numFmtId="0" fontId="9" fillId="0" borderId="13" xfId="0" applyFont="1" applyBorder="1"/>
    <xf numFmtId="46" fontId="9" fillId="0" borderId="4" xfId="0" applyNumberFormat="1" applyFont="1" applyBorder="1"/>
    <xf numFmtId="0" fontId="6" fillId="0" borderId="14" xfId="0" applyFont="1" applyBorder="1"/>
    <xf numFmtId="0" fontId="12" fillId="15" borderId="15" xfId="14" applyFont="1" applyBorder="1"/>
    <xf numFmtId="14" fontId="2" fillId="7" borderId="9" xfId="9" applyNumberFormat="1" applyBorder="1" applyAlignment="1">
      <alignment horizontal="center"/>
    </xf>
    <xf numFmtId="0" fontId="6" fillId="9" borderId="4" xfId="11" applyFont="1" applyBorder="1"/>
    <xf numFmtId="0" fontId="6" fillId="12" borderId="13" xfId="0" applyFont="1" applyFill="1" applyBorder="1"/>
    <xf numFmtId="0" fontId="9" fillId="12" borderId="13" xfId="11" applyFont="1" applyFill="1" applyBorder="1"/>
    <xf numFmtId="20" fontId="0" fillId="0" borderId="0" xfId="0" applyNumberFormat="1" applyAlignment="1">
      <alignment horizontal="center"/>
    </xf>
    <xf numFmtId="0" fontId="6" fillId="8" borderId="16" xfId="10" applyFont="1" applyBorder="1" applyAlignment="1"/>
    <xf numFmtId="0" fontId="6" fillId="0" borderId="16" xfId="0" applyFont="1" applyBorder="1"/>
    <xf numFmtId="0" fontId="6" fillId="13" borderId="13" xfId="0" applyFont="1" applyFill="1" applyBorder="1"/>
    <xf numFmtId="14" fontId="0" fillId="0" borderId="0" xfId="0" applyNumberFormat="1"/>
    <xf numFmtId="0" fontId="9" fillId="0" borderId="0" xfId="0" applyFont="1"/>
    <xf numFmtId="0" fontId="6" fillId="0" borderId="0" xfId="0" applyFont="1"/>
    <xf numFmtId="0" fontId="6" fillId="0" borderId="15" xfId="0" applyFont="1" applyBorder="1" applyAlignment="1">
      <alignment horizontal="right"/>
    </xf>
    <xf numFmtId="0" fontId="14" fillId="0" borderId="0" xfId="0" applyFont="1" applyAlignment="1">
      <alignment horizontal="left"/>
    </xf>
    <xf numFmtId="14" fontId="6" fillId="0" borderId="15" xfId="0" applyNumberFormat="1" applyFont="1" applyBorder="1" applyAlignment="1">
      <alignment horizontal="right"/>
    </xf>
    <xf numFmtId="14" fontId="6" fillId="0" borderId="0" xfId="0" applyNumberFormat="1" applyFont="1"/>
    <xf numFmtId="0" fontId="15" fillId="0" borderId="0" xfId="0" applyFont="1" applyAlignment="1">
      <alignment horizontal="left"/>
    </xf>
    <xf numFmtId="168" fontId="6" fillId="0" borderId="21" xfId="0" applyNumberFormat="1" applyFont="1" applyBorder="1" applyAlignment="1">
      <alignment horizontal="right"/>
    </xf>
    <xf numFmtId="45" fontId="0" fillId="0" borderId="0" xfId="0" applyNumberFormat="1"/>
    <xf numFmtId="49" fontId="0" fillId="0" borderId="0" xfId="0" applyNumberFormat="1"/>
    <xf numFmtId="166" fontId="0" fillId="0" borderId="0" xfId="1" applyNumberFormat="1" applyFont="1" applyFill="1" applyBorder="1"/>
    <xf numFmtId="166" fontId="0" fillId="0" borderId="20" xfId="0" applyNumberFormat="1" applyBorder="1"/>
    <xf numFmtId="20" fontId="6" fillId="0" borderId="14" xfId="0" applyNumberFormat="1" applyFont="1" applyBorder="1"/>
    <xf numFmtId="20" fontId="6" fillId="0" borderId="17" xfId="0" applyNumberFormat="1" applyFont="1" applyBorder="1"/>
    <xf numFmtId="169" fontId="0" fillId="0" borderId="0" xfId="1" applyNumberFormat="1" applyFont="1" applyFill="1" applyBorder="1"/>
    <xf numFmtId="0" fontId="6" fillId="0" borderId="0" xfId="0" applyFont="1" applyAlignment="1">
      <alignment horizontal="right"/>
    </xf>
    <xf numFmtId="0" fontId="6" fillId="0" borderId="23" xfId="0" applyFont="1" applyBorder="1" applyAlignment="1">
      <alignment horizontal="right"/>
    </xf>
    <xf numFmtId="14" fontId="6" fillId="0" borderId="25" xfId="0" applyNumberFormat="1" applyFont="1" applyBorder="1"/>
    <xf numFmtId="0" fontId="0" fillId="0" borderId="23" xfId="0" applyBorder="1"/>
    <xf numFmtId="0" fontId="0" fillId="0" borderId="24" xfId="0" applyBorder="1"/>
    <xf numFmtId="166" fontId="0" fillId="0" borderId="0" xfId="2" applyFont="1" applyBorder="1"/>
    <xf numFmtId="168" fontId="0" fillId="0" borderId="23" xfId="0" applyNumberFormat="1" applyBorder="1"/>
    <xf numFmtId="14" fontId="6" fillId="0" borderId="24" xfId="0" applyNumberFormat="1" applyFont="1" applyBorder="1"/>
    <xf numFmtId="14" fontId="6" fillId="0" borderId="24" xfId="0" applyNumberFormat="1" applyFont="1" applyBorder="1" applyAlignment="1">
      <alignment horizontal="right"/>
    </xf>
    <xf numFmtId="164" fontId="0" fillId="0" borderId="24" xfId="1" applyFont="1" applyFill="1" applyBorder="1"/>
    <xf numFmtId="0" fontId="10" fillId="5" borderId="27" xfId="7" applyFont="1" applyBorder="1"/>
    <xf numFmtId="0" fontId="2" fillId="6" borderId="28" xfId="8" applyBorder="1" applyAlignment="1">
      <alignment horizontal="center"/>
    </xf>
    <xf numFmtId="0" fontId="2" fillId="6" borderId="29" xfId="8" applyBorder="1" applyAlignment="1">
      <alignment horizontal="center"/>
    </xf>
    <xf numFmtId="0" fontId="2" fillId="8" borderId="30" xfId="10" applyBorder="1"/>
    <xf numFmtId="14" fontId="2" fillId="7" borderId="31" xfId="9" applyNumberFormat="1" applyBorder="1" applyAlignment="1">
      <alignment horizontal="center"/>
    </xf>
    <xf numFmtId="0" fontId="7" fillId="10" borderId="30" xfId="12" applyBorder="1"/>
    <xf numFmtId="0" fontId="2" fillId="4" borderId="32" xfId="6" applyBorder="1"/>
    <xf numFmtId="20" fontId="2" fillId="3" borderId="33" xfId="5" applyNumberFormat="1" applyBorder="1"/>
    <xf numFmtId="0" fontId="2" fillId="3" borderId="34" xfId="5" applyBorder="1"/>
    <xf numFmtId="0" fontId="6" fillId="0" borderId="30" xfId="0" applyFont="1" applyBorder="1" applyAlignment="1">
      <alignment horizontal="right"/>
    </xf>
    <xf numFmtId="14" fontId="6" fillId="0" borderId="31" xfId="0" applyNumberFormat="1" applyFont="1" applyBorder="1"/>
    <xf numFmtId="0" fontId="0" fillId="0" borderId="30" xfId="0" applyBorder="1"/>
    <xf numFmtId="0" fontId="0" fillId="0" borderId="31" xfId="0" applyBorder="1"/>
    <xf numFmtId="165" fontId="0" fillId="0" borderId="0" xfId="0" applyNumberFormat="1"/>
    <xf numFmtId="0" fontId="16" fillId="0" borderId="0" xfId="0" applyFont="1"/>
    <xf numFmtId="20" fontId="17" fillId="0" borderId="0" xfId="0" applyNumberFormat="1" applyFont="1"/>
    <xf numFmtId="165" fontId="0" fillId="0" borderId="0" xfId="0" applyNumberFormat="1" applyAlignment="1">
      <alignment horizontal="center" vertical="center"/>
    </xf>
    <xf numFmtId="167" fontId="17" fillId="12" borderId="0" xfId="0" applyNumberFormat="1" applyFont="1" applyFill="1"/>
    <xf numFmtId="1" fontId="0" fillId="0" borderId="0" xfId="1" applyNumberFormat="1" applyFont="1" applyFill="1" applyBorder="1"/>
    <xf numFmtId="0" fontId="18" fillId="0" borderId="0" xfId="0" applyFont="1"/>
    <xf numFmtId="166" fontId="6" fillId="0" borderId="0" xfId="2" applyFont="1" applyFill="1" applyBorder="1"/>
    <xf numFmtId="12" fontId="0" fillId="0" borderId="0" xfId="1" applyNumberFormat="1" applyFont="1" applyFill="1" applyBorder="1"/>
    <xf numFmtId="0" fontId="19" fillId="0" borderId="23" xfId="0" applyFont="1" applyBorder="1"/>
    <xf numFmtId="166" fontId="19" fillId="0" borderId="0" xfId="2" applyFont="1" applyFill="1" applyBorder="1"/>
    <xf numFmtId="169" fontId="19" fillId="0" borderId="0" xfId="1" applyNumberFormat="1" applyFont="1" applyFill="1" applyBorder="1"/>
    <xf numFmtId="164" fontId="19" fillId="0" borderId="24" xfId="1" applyFont="1" applyFill="1" applyBorder="1"/>
    <xf numFmtId="166" fontId="19" fillId="0" borderId="24" xfId="0" applyNumberFormat="1" applyFont="1" applyBorder="1"/>
    <xf numFmtId="168" fontId="19" fillId="0" borderId="23" xfId="0" applyNumberFormat="1" applyFont="1" applyBorder="1"/>
    <xf numFmtId="49" fontId="19" fillId="0" borderId="0" xfId="2" applyNumberFormat="1" applyFont="1" applyFill="1" applyBorder="1"/>
    <xf numFmtId="166" fontId="19" fillId="0" borderId="0" xfId="1" applyNumberFormat="1" applyFont="1" applyFill="1" applyBorder="1"/>
    <xf numFmtId="49" fontId="19" fillId="0" borderId="0" xfId="0" applyNumberFormat="1" applyFont="1"/>
    <xf numFmtId="166" fontId="19" fillId="0" borderId="0" xfId="0" applyNumberFormat="1" applyFont="1"/>
    <xf numFmtId="166" fontId="19" fillId="0" borderId="0" xfId="1" applyNumberFormat="1" applyFont="1"/>
    <xf numFmtId="0" fontId="20" fillId="0" borderId="0" xfId="0" applyFont="1" applyAlignment="1">
      <alignment horizontal="left"/>
    </xf>
    <xf numFmtId="166" fontId="19" fillId="0" borderId="0" xfId="2" applyFont="1" applyBorder="1"/>
    <xf numFmtId="169" fontId="19" fillId="0" borderId="0" xfId="1" applyNumberFormat="1" applyFont="1" applyBorder="1" applyAlignment="1">
      <alignment vertical="center"/>
    </xf>
    <xf numFmtId="0" fontId="19" fillId="0" borderId="0" xfId="0" applyFont="1"/>
    <xf numFmtId="164" fontId="19" fillId="0" borderId="0" xfId="0" applyNumberFormat="1" applyFont="1"/>
    <xf numFmtId="166" fontId="19" fillId="0" borderId="23" xfId="2" applyFont="1" applyFill="1" applyBorder="1"/>
    <xf numFmtId="166" fontId="19" fillId="0" borderId="24" xfId="2" applyFont="1" applyFill="1" applyBorder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49" fontId="19" fillId="0" borderId="23" xfId="0" applyNumberFormat="1" applyFont="1" applyBorder="1"/>
    <xf numFmtId="169" fontId="19" fillId="0" borderId="0" xfId="1" applyNumberFormat="1" applyFont="1" applyBorder="1"/>
    <xf numFmtId="164" fontId="19" fillId="0" borderId="0" xfId="1" applyFont="1" applyFill="1" applyBorder="1"/>
    <xf numFmtId="0" fontId="19" fillId="0" borderId="24" xfId="0" applyFont="1" applyBorder="1"/>
    <xf numFmtId="166" fontId="19" fillId="0" borderId="24" xfId="2" applyFont="1" applyBorder="1"/>
    <xf numFmtId="14" fontId="19" fillId="0" borderId="23" xfId="0" applyNumberFormat="1" applyFont="1" applyBorder="1"/>
    <xf numFmtId="168" fontId="0" fillId="0" borderId="0" xfId="0" applyNumberFormat="1" applyAlignment="1">
      <alignment horizontal="center"/>
    </xf>
    <xf numFmtId="168" fontId="19" fillId="0" borderId="0" xfId="0" applyNumberFormat="1" applyFont="1"/>
    <xf numFmtId="166" fontId="19" fillId="0" borderId="0" xfId="2" applyFont="1"/>
    <xf numFmtId="167" fontId="11" fillId="0" borderId="0" xfId="0" applyNumberFormat="1" applyFont="1" applyFill="1"/>
    <xf numFmtId="167" fontId="17" fillId="0" borderId="0" xfId="0" applyNumberFormat="1" applyFont="1" applyFill="1"/>
    <xf numFmtId="166" fontId="19" fillId="0" borderId="24" xfId="2" applyNumberFormat="1" applyFont="1" applyFill="1" applyBorder="1"/>
    <xf numFmtId="169" fontId="19" fillId="0" borderId="0" xfId="1" applyNumberFormat="1" applyFont="1" applyBorder="1" applyAlignment="1">
      <alignment horizontal="left" vertical="center"/>
    </xf>
    <xf numFmtId="0" fontId="23" fillId="0" borderId="0" xfId="0" applyFont="1" applyBorder="1" applyAlignment="1">
      <alignment horizontal="left"/>
    </xf>
    <xf numFmtId="0" fontId="0" fillId="0" borderId="0" xfId="0" applyBorder="1"/>
    <xf numFmtId="166" fontId="19" fillId="0" borderId="31" xfId="0" applyNumberFormat="1" applyFont="1" applyBorder="1"/>
    <xf numFmtId="0" fontId="19" fillId="0" borderId="30" xfId="0" applyFont="1" applyBorder="1"/>
    <xf numFmtId="0" fontId="19" fillId="0" borderId="0" xfId="0" applyFont="1" applyBorder="1"/>
    <xf numFmtId="164" fontId="19" fillId="0" borderId="0" xfId="0" applyNumberFormat="1" applyFont="1" applyBorder="1"/>
    <xf numFmtId="168" fontId="19" fillId="0" borderId="30" xfId="0" applyNumberFormat="1" applyFont="1" applyBorder="1"/>
    <xf numFmtId="49" fontId="19" fillId="0" borderId="0" xfId="0" applyNumberFormat="1" applyFont="1" applyBorder="1"/>
    <xf numFmtId="168" fontId="19" fillId="0" borderId="32" xfId="0" applyNumberFormat="1" applyFont="1" applyBorder="1"/>
    <xf numFmtId="49" fontId="19" fillId="0" borderId="33" xfId="0" applyNumberFormat="1" applyFont="1" applyBorder="1" applyAlignment="1">
      <alignment horizontal="right"/>
    </xf>
    <xf numFmtId="166" fontId="19" fillId="0" borderId="33" xfId="2" applyFont="1" applyBorder="1"/>
    <xf numFmtId="166" fontId="19" fillId="0" borderId="34" xfId="0" applyNumberFormat="1" applyFont="1" applyBorder="1"/>
    <xf numFmtId="0" fontId="24" fillId="0" borderId="0" xfId="0" applyFont="1" applyBorder="1" applyAlignment="1">
      <alignment horizontal="left" wrapText="1"/>
    </xf>
    <xf numFmtId="0" fontId="19" fillId="0" borderId="30" xfId="0" applyNumberFormat="1" applyFont="1" applyBorder="1" applyAlignment="1">
      <alignment horizontal="center"/>
    </xf>
    <xf numFmtId="166" fontId="19" fillId="0" borderId="0" xfId="2" applyNumberFormat="1" applyFont="1" applyBorder="1"/>
    <xf numFmtId="166" fontId="19" fillId="0" borderId="31" xfId="2" applyNumberFormat="1" applyFont="1" applyBorder="1"/>
    <xf numFmtId="168" fontId="19" fillId="0" borderId="0" xfId="0" applyNumberFormat="1" applyFont="1" applyBorder="1"/>
    <xf numFmtId="49" fontId="19" fillId="0" borderId="0" xfId="0" applyNumberFormat="1" applyFont="1" applyBorder="1" applyAlignment="1">
      <alignment horizontal="right"/>
    </xf>
    <xf numFmtId="166" fontId="19" fillId="0" borderId="0" xfId="0" applyNumberFormat="1" applyFont="1" applyBorder="1"/>
    <xf numFmtId="0" fontId="25" fillId="0" borderId="0" xfId="0" applyFont="1" applyBorder="1" applyAlignment="1">
      <alignment horizontal="left"/>
    </xf>
    <xf numFmtId="170" fontId="0" fillId="0" borderId="0" xfId="0" applyNumberFormat="1"/>
    <xf numFmtId="169" fontId="19" fillId="0" borderId="0" xfId="1" applyNumberFormat="1" applyFont="1" applyBorder="1" applyAlignment="1">
      <alignment horizontal="center" vertical="center"/>
    </xf>
    <xf numFmtId="0" fontId="8" fillId="2" borderId="43" xfId="3" applyFont="1" applyBorder="1"/>
    <xf numFmtId="46" fontId="9" fillId="0" borderId="44" xfId="0" applyNumberFormat="1" applyFont="1" applyBorder="1"/>
    <xf numFmtId="0" fontId="9" fillId="0" borderId="45" xfId="0" applyFont="1" applyBorder="1"/>
    <xf numFmtId="0" fontId="4" fillId="2" borderId="46" xfId="4" applyFont="1" applyFill="1" applyBorder="1"/>
    <xf numFmtId="0" fontId="9" fillId="0" borderId="47" xfId="0" applyFont="1" applyBorder="1"/>
    <xf numFmtId="0" fontId="9" fillId="9" borderId="48" xfId="11" applyFont="1" applyBorder="1"/>
    <xf numFmtId="0" fontId="9" fillId="0" borderId="49" xfId="0" applyFont="1" applyBorder="1"/>
    <xf numFmtId="0" fontId="9" fillId="12" borderId="48" xfId="11" applyFont="1" applyFill="1" applyBorder="1"/>
    <xf numFmtId="0" fontId="12" fillId="15" borderId="30" xfId="14" applyFont="1" applyBorder="1"/>
    <xf numFmtId="0" fontId="6" fillId="0" borderId="50" xfId="0" applyFont="1" applyBorder="1"/>
    <xf numFmtId="0" fontId="6" fillId="8" borderId="51" xfId="10" applyFont="1" applyBorder="1" applyAlignment="1"/>
    <xf numFmtId="20" fontId="6" fillId="0" borderId="52" xfId="0" applyNumberFormat="1" applyFont="1" applyBorder="1"/>
    <xf numFmtId="0" fontId="6" fillId="0" borderId="53" xfId="0" applyFont="1" applyBorder="1"/>
    <xf numFmtId="0" fontId="26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6" fillId="17" borderId="0" xfId="0" applyFont="1" applyFill="1" applyBorder="1" applyAlignment="1"/>
    <xf numFmtId="0" fontId="27" fillId="18" borderId="54" xfId="0" applyFont="1" applyFill="1" applyBorder="1" applyAlignment="1">
      <alignment wrapText="1"/>
    </xf>
    <xf numFmtId="0" fontId="27" fillId="18" borderId="55" xfId="0" applyFont="1" applyFill="1" applyBorder="1" applyAlignment="1">
      <alignment wrapText="1"/>
    </xf>
    <xf numFmtId="20" fontId="27" fillId="18" borderId="55" xfId="0" applyNumberFormat="1" applyFont="1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165" fontId="0" fillId="0" borderId="0" xfId="0" applyNumberFormat="1" applyFill="1" applyBorder="1"/>
    <xf numFmtId="166" fontId="0" fillId="0" borderId="0" xfId="0" applyNumberFormat="1" applyFill="1" applyBorder="1"/>
    <xf numFmtId="20" fontId="0" fillId="0" borderId="0" xfId="0" applyNumberFormat="1" applyBorder="1"/>
    <xf numFmtId="0" fontId="2" fillId="3" borderId="11" xfId="5" applyBorder="1"/>
    <xf numFmtId="164" fontId="6" fillId="0" borderId="0" xfId="0" applyNumberFormat="1" applyFont="1"/>
    <xf numFmtId="0" fontId="0" fillId="0" borderId="59" xfId="0" applyBorder="1"/>
    <xf numFmtId="0" fontId="0" fillId="0" borderId="60" xfId="0" applyBorder="1"/>
    <xf numFmtId="0" fontId="28" fillId="0" borderId="58" xfId="0" applyFont="1" applyBorder="1" applyAlignment="1">
      <alignment horizontal="center"/>
    </xf>
    <xf numFmtId="167" fontId="17" fillId="0" borderId="0" xfId="0" applyNumberFormat="1" applyFont="1" applyFill="1" applyAlignment="1">
      <alignment horizontal="center"/>
    </xf>
    <xf numFmtId="0" fontId="28" fillId="0" borderId="27" xfId="0" applyFont="1" applyBorder="1"/>
    <xf numFmtId="0" fontId="28" fillId="0" borderId="28" xfId="0" applyFont="1" applyBorder="1"/>
    <xf numFmtId="0" fontId="0" fillId="0" borderId="29" xfId="0" applyBorder="1"/>
    <xf numFmtId="0" fontId="28" fillId="0" borderId="30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28" fillId="0" borderId="27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0" fillId="0" borderId="58" xfId="0" applyBorder="1"/>
    <xf numFmtId="0" fontId="0" fillId="0" borderId="32" xfId="0" applyBorder="1"/>
    <xf numFmtId="0" fontId="0" fillId="0" borderId="28" xfId="0" applyBorder="1"/>
    <xf numFmtId="0" fontId="0" fillId="0" borderId="27" xfId="0" applyBorder="1"/>
    <xf numFmtId="167" fontId="29" fillId="0" borderId="0" xfId="0" applyNumberFormat="1" applyFont="1" applyFill="1"/>
    <xf numFmtId="0" fontId="16" fillId="17" borderId="61" xfId="0" applyFont="1" applyFill="1" applyBorder="1" applyAlignment="1"/>
    <xf numFmtId="0" fontId="16" fillId="17" borderId="0" xfId="0" applyFont="1" applyFill="1" applyAlignment="1"/>
    <xf numFmtId="20" fontId="29" fillId="0" borderId="0" xfId="0" applyNumberFormat="1" applyFont="1"/>
    <xf numFmtId="164" fontId="0" fillId="0" borderId="0" xfId="0" applyNumberFormat="1" applyFill="1" applyBorder="1"/>
    <xf numFmtId="165" fontId="0" fillId="0" borderId="0" xfId="2" applyNumberFormat="1" applyFont="1" applyFill="1" applyBorder="1" applyAlignment="1">
      <alignment wrapText="1"/>
    </xf>
    <xf numFmtId="167" fontId="30" fillId="0" borderId="0" xfId="0" applyNumberFormat="1" applyFont="1" applyFill="1"/>
    <xf numFmtId="0" fontId="15" fillId="0" borderId="0" xfId="0" applyFont="1" applyBorder="1" applyAlignment="1">
      <alignment horizontal="left"/>
    </xf>
    <xf numFmtId="166" fontId="0" fillId="0" borderId="31" xfId="2" applyFont="1" applyFill="1" applyBorder="1"/>
    <xf numFmtId="164" fontId="0" fillId="0" borderId="0" xfId="0" applyNumberFormat="1" applyBorder="1"/>
    <xf numFmtId="166" fontId="0" fillId="0" borderId="31" xfId="0" applyNumberFormat="1" applyBorder="1"/>
    <xf numFmtId="168" fontId="0" fillId="0" borderId="30" xfId="0" applyNumberFormat="1" applyBorder="1"/>
    <xf numFmtId="164" fontId="0" fillId="0" borderId="0" xfId="1" applyFont="1" applyBorder="1"/>
    <xf numFmtId="0" fontId="13" fillId="16" borderId="15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/>
    </xf>
    <xf numFmtId="0" fontId="13" fillId="16" borderId="0" xfId="0" applyFont="1" applyFill="1" applyBorder="1" applyAlignment="1">
      <alignment horizontal="center" vertical="center"/>
    </xf>
    <xf numFmtId="0" fontId="13" fillId="16" borderId="22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7" xfId="0" applyFont="1" applyFill="1" applyBorder="1" applyAlignment="1">
      <alignment horizontal="center" vertical="center"/>
    </xf>
    <xf numFmtId="0" fontId="13" fillId="16" borderId="15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3" fillId="16" borderId="2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11" borderId="0" xfId="13" applyBorder="1" applyAlignment="1">
      <alignment horizontal="center"/>
    </xf>
    <xf numFmtId="0" fontId="2" fillId="11" borderId="31" xfId="13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11" borderId="9" xfId="13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16" borderId="27" xfId="0" applyFont="1" applyFill="1" applyBorder="1" applyAlignment="1">
      <alignment horizontal="center" vertical="center"/>
    </xf>
    <xf numFmtId="0" fontId="13" fillId="16" borderId="38" xfId="0" applyFont="1" applyFill="1" applyBorder="1" applyAlignment="1">
      <alignment horizontal="center" vertical="center"/>
    </xf>
    <xf numFmtId="0" fontId="13" fillId="16" borderId="39" xfId="0" applyFont="1" applyFill="1" applyBorder="1" applyAlignment="1">
      <alignment horizontal="center" vertical="center"/>
    </xf>
    <xf numFmtId="0" fontId="13" fillId="16" borderId="40" xfId="0" applyFont="1" applyFill="1" applyBorder="1" applyAlignment="1">
      <alignment horizontal="center" vertical="center"/>
    </xf>
    <xf numFmtId="0" fontId="13" fillId="16" borderId="41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3" fillId="16" borderId="28" xfId="0" applyFont="1" applyFill="1" applyBorder="1" applyAlignment="1">
      <alignment horizontal="center" vertical="center"/>
    </xf>
    <xf numFmtId="0" fontId="13" fillId="16" borderId="29" xfId="0" applyFont="1" applyFill="1" applyBorder="1" applyAlignment="1">
      <alignment horizontal="center" vertical="center"/>
    </xf>
    <xf numFmtId="0" fontId="13" fillId="16" borderId="30" xfId="0" applyFont="1" applyFill="1" applyBorder="1" applyAlignment="1">
      <alignment horizontal="center" vertical="center"/>
    </xf>
    <xf numFmtId="0" fontId="13" fillId="16" borderId="0" xfId="0" applyFont="1" applyFill="1" applyBorder="1" applyAlignment="1">
      <alignment horizontal="center" vertical="center"/>
    </xf>
    <xf numFmtId="0" fontId="13" fillId="16" borderId="31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5">
    <cellStyle name="20% - Accent4" xfId="9" builtinId="42"/>
    <cellStyle name="40% - Accent2" xfId="5" builtinId="35"/>
    <cellStyle name="40% - Accent3" xfId="8" builtinId="39"/>
    <cellStyle name="40% - Accent6" xfId="13" builtinId="51"/>
    <cellStyle name="60% - Accent2" xfId="6" builtinId="36"/>
    <cellStyle name="60% - Accent4" xfId="10" builtinId="44"/>
    <cellStyle name="60% - Accent5" xfId="11" builtinId="48"/>
    <cellStyle name="60% - Accent6" xfId="14" builtinId="52"/>
    <cellStyle name="Accent3" xfId="7" builtinId="37"/>
    <cellStyle name="Accent6" xfId="12" builtinId="49"/>
    <cellStyle name="Comma" xfId="1" builtinId="3"/>
    <cellStyle name="Currency" xfId="2" builtinId="4"/>
    <cellStyle name="Input" xfId="3" builtinId="20"/>
    <cellStyle name="Linked Cell" xfId="4" builtinId="24"/>
    <cellStyle name="Normal" xfId="0" builtinId="0"/>
  </cellStyles>
  <dxfs count="506"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9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numFmt numFmtId="166" formatCode="_-&quot;$&quot;\ * #,##0.00_-;\-&quot;$&quot;\ * #,##0.00_-;_-&quot;$&quot;\ * &quot;-&quot;??_-;_-@_-"/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</dxf>
    <dxf>
      <font>
        <sz val="12"/>
      </font>
    </dxf>
    <dxf>
      <font>
        <sz val="12"/>
      </font>
      <numFmt numFmtId="30" formatCode="@"/>
    </dxf>
    <dxf>
      <font>
        <sz val="12"/>
      </font>
      <numFmt numFmtId="171" formatCode="d/m/yyyy"/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168" formatCode="dd/mm/yy;@"/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8" formatCode="dd/mm/yy;@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numFmt numFmtId="169" formatCode="_-* #,##0_-;\-* #,##0_-;_-* &quot;-&quot;??_-;_-@_-"/>
    </dxf>
    <dxf>
      <numFmt numFmtId="164" formatCode="_-* #,##0.00_-;\-* #,##0.00_-;_-* &quot;-&quot;??_-;_-@_-"/>
    </dxf>
    <dxf>
      <font>
        <sz val="12"/>
      </font>
    </dxf>
    <dxf>
      <font>
        <sz val="12"/>
      </font>
    </dxf>
    <dxf>
      <border diagonalUp="0" diagonalDown="0" outline="0">
        <left style="thick">
          <color rgb="FF000000"/>
        </left>
        <right/>
        <top/>
        <bottom/>
      </border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  <alignment horizontal="center"/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6" formatCode="_-&quot;$&quot;\ * #,##0.00_-;\-&quot;$&quot;\ * #,##0.00_-;_-&quot;$&quot;\ * &quot;-&quot;??_-;_-@_-"/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9" formatCode="_-* #,##0_-;\-* #,##0_-;_-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1" formatCode="d/m/yyyy"/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numFmt numFmtId="172" formatCode="h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$&quot;\ * #,##0.00_-;\-&quot;$&quot;\ * #,##0.00_-;_-&quot;$&quot;\ * &quot;-&quot;??_-;_-@_-"/>
    </dxf>
    <dxf>
      <numFmt numFmtId="30" formatCode="@"/>
    </dxf>
    <dxf>
      <numFmt numFmtId="168" formatCode="dd/mm/yy;@"/>
    </dxf>
    <dxf>
      <numFmt numFmtId="166" formatCode="_-&quot;$&quot;\ * #,##0.00_-;\-&quot;$&quot;\ * #,##0.00_-;_-&quot;$&quot;\ * &quot;-&quot;??_-;_-@_-"/>
    </dxf>
    <dxf>
      <numFmt numFmtId="164" formatCode="_-* #,##0.00_-;\-* #,##0.00_-;_-* &quot;-&quot;??_-;_-@_-"/>
    </dxf>
    <dxf>
      <numFmt numFmtId="172" formatCode="h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7" formatCode="[$-F800]dddd\,\ mmmm\ dd\,\ yyyy"/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D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967FE5-49A6-452C-AE60-1C560FA28CC7}" name="Tabla16" displayName="Tabla16" ref="B9:F26" totalsRowCount="1">
  <autoFilter ref="B9:F25" xr:uid="{4F967FE5-49A6-452C-AE60-1C560FA28CC7}"/>
  <tableColumns count="5">
    <tableColumn id="1" xr3:uid="{BBB25BA2-19A3-44A8-B982-8B20F7CBEEFC}" name="FECHA" totalsRowLabel="Total" dataDxfId="503"/>
    <tableColumn id="2" xr3:uid="{6FA8E9F4-C5EB-414D-83CB-1B514A125753}" name="ENTRADA" totalsRowFunction="countNums" dataDxfId="502"/>
    <tableColumn id="3" xr3:uid="{AD11B054-AA8E-4620-8945-9CF654C65F73}" name="SALIDA" dataDxfId="501"/>
    <tableColumn id="4" xr3:uid="{3FEA2ACF-5EDD-495E-B44D-993597BBAF0B}" name="TOTAL" totalsRowFunction="custom" dataDxfId="499" totalsRowDxfId="500">
      <calculatedColumnFormula>D10-C10</calculatedColumnFormula>
      <totalsRowFormula>SUBTOTAL(109,E10:E25)</totalsRowFormula>
    </tableColumn>
    <tableColumn id="5" xr3:uid="{4E6F9A2A-E1D1-44DF-8199-0FC0C5C7A836}" name="EXTRAS" totalsRowFunction="custom" dataDxfId="497" totalsRowDxfId="498">
      <calculatedColumnFormula>E10-$C$6</calculatedColumnFormula>
      <totalsRowFormula>SUBTOTAL(109,F10:F25)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9F5F53-E806-4F42-89A1-AD190B5F55FA}" name="Tabla27" displayName="Tabla27" ref="H9:K17" totalsRowCount="1">
  <autoFilter ref="H9:K16" xr:uid="{FA9F5F53-E806-4F42-89A1-AD190B5F55FA}"/>
  <tableColumns count="4">
    <tableColumn id="1" xr3:uid="{B0EB5D00-BB58-45AB-B2D7-97C8AC0C0442}" name="CONCEPTO" totalsRowLabel="Total"/>
    <tableColumn id="2" xr3:uid="{9BEAF375-50E9-4A38-BEBE-78ACC9BFDB7F}" name="VALOR"/>
    <tableColumn id="3" xr3:uid="{6AD99522-9681-477B-BCB0-FCF3DC741658}" name="CANTIDAD" totalsRowDxfId="496"/>
    <tableColumn id="4" xr3:uid="{38916713-E52E-4E72-8F61-56AFAAC71866}" name="SUB TOTAL" totalsRowFunction="sum" totalsRowDxfId="495">
      <calculatedColumnFormula>Tabla27[[#This Row],[VALOR]]*Tabla27[[#This Row],[CANTIDAD]]</calculatedColumnFormula>
    </tableColumn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2DCFD4-E9EF-45F4-A6B8-AAD3B17EBEA7}" name="Tabla38" displayName="Tabla38" ref="H19:K24" totalsRowShown="0">
  <autoFilter ref="H19:K24" xr:uid="{A62DCFD4-E9EF-45F4-A6B8-AAD3B17EBEA7}"/>
  <tableColumns count="4">
    <tableColumn id="1" xr3:uid="{6BFB81DD-B1AC-4E59-AFE6-F0756DBE7816}" name="FECHA" dataDxfId="494"/>
    <tableColumn id="2" xr3:uid="{06312D95-A6F9-46DC-B5BD-9DEF77765CF0}" name="CONCEPTO" dataDxfId="493">
      <calculatedColumnFormula>TODAY()</calculatedColumnFormula>
    </tableColumn>
    <tableColumn id="3" xr3:uid="{8EA2974A-AA6E-4397-86FD-012E652BA185}" name="CANTIDAD" dataDxfId="492">
      <calculatedColumnFormula>K12</calculatedColumnFormula>
    </tableColumn>
    <tableColumn id="4" xr3:uid="{FA70AF69-7A9A-43AC-AB84-341E58F9F46B}" name="TOTAL" dataDxfId="491">
      <calculatedColumnFormula>K19-J20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70D7E-23DC-4070-A81D-A49B96F0B07F}" name="Tabla165" displayName="Tabla165" ref="A9:E26" totalsRowCount="1" headerRowDxfId="488">
  <autoFilter ref="A9:E25" xr:uid="{16070D7E-23DC-4070-A81D-A49B96F0B07F}"/>
  <tableColumns count="5">
    <tableColumn id="1" xr3:uid="{C1D785AA-908F-4FC7-8C11-3BC1AD5CACFF}" name="FECHA" totalsRowLabel="Total" dataDxfId="487"/>
    <tableColumn id="2" xr3:uid="{03FC11CD-5C29-4DE9-8D54-CE773DEBF2FB}" name="ENTRADA" dataDxfId="486"/>
    <tableColumn id="3" xr3:uid="{B3AC1E62-45DF-4A3C-9E84-435BCBA7A654}" name="SALIDA" dataDxfId="485"/>
    <tableColumn id="4" xr3:uid="{F691A390-D8C6-4B59-A105-F98581FD2AAE}" name="TOTAL" totalsRowFunction="custom" dataDxfId="483" totalsRowDxfId="484">
      <calculatedColumnFormula>C10-B10</calculatedColumnFormula>
      <totalsRowFormula>SUBTOTAL(109,D10:D25)</totalsRowFormula>
    </tableColumn>
    <tableColumn id="5" xr3:uid="{E50396AA-DDC0-4A4B-A8F9-7D0AF124A267}" name="EXTRAS" totalsRowFunction="custom" dataDxfId="481" totalsRowDxfId="482">
      <calculatedColumnFormula>D10-$B$5</calculatedColumnFormula>
      <totalsRowFormula>SUBTOTAL(109,E10:E25)</totalsRow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9C150-2C36-476A-BD80-B31402105E0F}" name="Tabla272" displayName="Tabla272" ref="G9:J17" totalsRowCount="1">
  <autoFilter ref="G9:J16" xr:uid="{D309C150-2C36-476A-BD80-B31402105E0F}"/>
  <tableColumns count="4">
    <tableColumn id="1" xr3:uid="{EEDF3E97-5D83-47D5-8DC2-E87A16C4DC17}" name="CONCEPTO" totalsRowLabel="Total"/>
    <tableColumn id="2" xr3:uid="{B156F04A-7B0D-4F0E-B827-20220A1929A8}" name="VALOR"/>
    <tableColumn id="3" xr3:uid="{B9043B50-A9D0-476B-9F07-044CF486ED19}" name="CANTIDAD" totalsRowDxfId="480"/>
    <tableColumn id="4" xr3:uid="{43146F57-44AF-4142-8846-5F20CCC8B995}" name="SUB TOTAL" totalsRowFunction="sum" totalsRowDxfId="479">
      <calculatedColumnFormula>Tabla272[[#This Row],[VALOR]]*Tabla272[[#This Row],[CANTIDAD]]</calculatedColumnFormula>
    </tableColumn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A4B7D-0E20-4E21-BE27-660563C44596}" name="Tabla383" displayName="Tabla383" ref="G19:J23" totalsRowShown="0">
  <autoFilter ref="G19:J23" xr:uid="{2B9A4B7D-0E20-4E21-BE27-660563C44596}"/>
  <tableColumns count="4">
    <tableColumn id="1" xr3:uid="{51101C51-7273-4DDF-B202-E0E4411BC868}" name="FECHA" dataDxfId="478"/>
    <tableColumn id="2" xr3:uid="{30F81781-F7EC-4797-93F1-0C506E6E6A0B}" name="CONCEPTO" dataDxfId="477">
      <calculatedColumnFormula>TODAY()</calculatedColumnFormula>
    </tableColumn>
    <tableColumn id="3" xr3:uid="{C5629AFB-7AFC-4A01-A4F3-62CA7A2B43D9}" name="CANTIDAD" dataDxfId="476"/>
    <tableColumn id="4" xr3:uid="{F0A552A9-2F95-450F-97B5-6DB4D7921EE3}" name="TOTAL" dataDxfId="475">
      <calculatedColumnFormula>Tabla272[[#Totals],[SUB TOTAL]]-Tabla383[[#This Row],[CANTIDAD]]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FE9B66-BE46-4D36-B7D7-6ED7C577A24E}" name="Tabla23141114161820" displayName="Tabla23141114161820" ref="H8:K15" totalsRowCount="1">
  <autoFilter ref="H8:K14" xr:uid="{52FE9B66-BE46-4D36-B7D7-6ED7C577A24E}"/>
  <tableColumns count="4">
    <tableColumn id="1" xr3:uid="{4593F61D-C38C-4538-928E-ADCF829B936A}" name="CONCEPTO" totalsRowLabel="Total"/>
    <tableColumn id="2" xr3:uid="{887B1BFB-88BC-4480-942C-3A3A8FC759CA}" name="VALOR"/>
    <tableColumn id="3" xr3:uid="{38DF775E-EEF2-4ECD-A81C-5641E31E7D21}" name="CANTIDAD" totalsRowDxfId="472"/>
    <tableColumn id="4" xr3:uid="{49933B54-EA15-4335-A4E1-4EBE5F12CDB8}" name="SUB TOTAL" totalsRowFunction="sum" totalsRowDxfId="471">
      <calculatedColumnFormula>Tabla23141114161820[[#This Row],[VALOR]]*Tabla23141114161820[[#This Row],[CANTIDAD]]</calculatedColumnFormula>
    </tableColumn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4E72943-EDB6-4F2A-B2E2-BDC5B0662CD0}" name="Tabla332101315171922" displayName="Tabla332101315171922" ref="H17:K20" totalsRowShown="0">
  <autoFilter ref="H17:K20" xr:uid="{64E72943-EDB6-4F2A-B2E2-BDC5B0662CD0}"/>
  <tableColumns count="4">
    <tableColumn id="1" xr3:uid="{9B894795-D69B-47E5-98F7-32671B8E0187}" name="FECHA" dataDxfId="470"/>
    <tableColumn id="2" xr3:uid="{4BDFFB16-ABFC-4275-B1B8-91D03A846816}" name="CONCEPTO"/>
    <tableColumn id="3" xr3:uid="{E4763371-3005-4851-B696-11FE552C2CB3}" name="CANTIDAD"/>
    <tableColumn id="4" xr3:uid="{C20F0918-889C-4954-AC3E-307B635D5087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54190EC-BD75-4252-AA7B-425FAD2E9F4F}" name="Tabla13040" displayName="Tabla13040" ref="B8:F25" totalsRowCount="1">
  <autoFilter ref="B8:F24" xr:uid="{E54190EC-BD75-4252-AA7B-425FAD2E9F4F}"/>
  <tableColumns count="5">
    <tableColumn id="1" xr3:uid="{A562F072-749C-4ED5-B23A-1060CD202AA4}" name="FECHA" totalsRowLabel="Total" dataDxfId="469"/>
    <tableColumn id="2" xr3:uid="{D74EF506-554A-4061-81CF-C7BEDCEA68E4}" name="ENTRADA" totalsRowFunction="countNums" dataDxfId="468"/>
    <tableColumn id="3" xr3:uid="{36A04C68-B3A4-42DA-B5E5-B7CB54D20A9C}" name="SALIDA" dataDxfId="467"/>
    <tableColumn id="4" xr3:uid="{DA0AE9B2-CEF0-4A03-A0B8-66DDE8272A97}" name="TOTAL" totalsRowFunction="custom" dataDxfId="465" totalsRowDxfId="466">
      <calculatedColumnFormula>D9-C9</calculatedColumnFormula>
      <totalsRowFormula>SUBTOTAL(109,E9:E24)</totalsRowFormula>
    </tableColumn>
    <tableColumn id="5" xr3:uid="{CB69450A-EB99-4BA6-86B0-40ADE1153422}" name="EXTRAS" totalsRowFunction="sum" dataDxfId="463" totalsRowDxfId="464">
      <calculatedColumnFormula>E9-$C$5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749346-91F2-4334-946B-004D82FADA74}" name="Tabla2314" displayName="Tabla2314" ref="H7:K14" totalsRowCount="1">
  <autoFilter ref="H7:K13" xr:uid="{38749346-91F2-4334-946B-004D82FADA74}"/>
  <tableColumns count="4">
    <tableColumn id="1" xr3:uid="{219B62A4-9EC0-4186-9B55-4928FE2BC37A}" name="CONCEPTO" totalsRowLabel="Total"/>
    <tableColumn id="2" xr3:uid="{AD447728-FA2C-478B-B1E6-79C732183F26}" name="VALOR"/>
    <tableColumn id="3" xr3:uid="{4729A266-6702-4326-B671-91CD95D5DC50}" name="CANTIDAD" dataDxfId="459" totalsRowDxfId="460"/>
    <tableColumn id="4" xr3:uid="{397348D4-FF09-4EAA-9653-B6CA745E1102}" name="SUB TOTAL" totalsRowFunction="sum" totalsRowDxfId="458">
      <calculatedColumnFormula>Tabla2314[[#This Row],[VALOR]]*Tabla2314[[#This Row],[CANTIDAD]]</calculatedColumnFormula>
    </tableColumn>
  </tableColumns>
  <tableStyleInfo name="TableStyleMedium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97550E-73AE-4584-B871-26B011B264A8}" name="Tabla33210" displayName="Tabla33210" ref="H16:K19" totalsRowShown="0">
  <autoFilter ref="H16:K19" xr:uid="{DE97550E-73AE-4584-B871-26B011B264A8}"/>
  <tableColumns count="4">
    <tableColumn id="1" xr3:uid="{4AB2B234-A4BE-43A3-8D42-9175C669B5D2}" name="FECHA" dataDxfId="457"/>
    <tableColumn id="2" xr3:uid="{76B059BF-C1B1-4B51-92D2-8F4F41ED4AB8}" name="CONCEPTO"/>
    <tableColumn id="3" xr3:uid="{974CA269-790F-4478-BE07-D31C5A8DFA09}" name="CANTIDAD"/>
    <tableColumn id="4" xr3:uid="{09B08A11-7D54-4ABF-B6E7-2115932AAE80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A91D111-A91E-4D0E-B00D-EA7761F593CE}" name="Tabla13034" displayName="Tabla13034" ref="B7:F24" totalsRowCount="1">
  <autoFilter ref="B7:F23" xr:uid="{5A91D111-A91E-4D0E-B00D-EA7761F593CE}"/>
  <tableColumns count="5">
    <tableColumn id="1" xr3:uid="{168BEBC9-9EE1-4058-A0F5-1FF92508B494}" name="FECHA" totalsRowLabel="Total" dataDxfId="456"/>
    <tableColumn id="2" xr3:uid="{FA1F8A1B-E987-434B-B2CD-298574328DB9}" name="ENTRADA" totalsRowFunction="countNums" dataDxfId="455"/>
    <tableColumn id="3" xr3:uid="{E42ED3CC-AC05-4F8E-98E0-080011BE76BC}" name="SALIDA" dataDxfId="454"/>
    <tableColumn id="4" xr3:uid="{49FA9BF7-C815-41B2-BA36-AED8EE3F8F46}" name="TOTAL" totalsRowFunction="custom" dataDxfId="452" totalsRowDxfId="453">
      <calculatedColumnFormula>D8-C8</calculatedColumnFormula>
      <totalsRowFormula>SUBTOTAL(109,E8:E23)</totalsRowFormula>
    </tableColumn>
    <tableColumn id="5" xr3:uid="{5B86D0A4-76D8-44AB-B6AD-2FB4514375E5}" name="EXTRAS" totalsRowFunction="sum" dataDxfId="450" totalsRowDxfId="451">
      <calculatedColumnFormula>E8-$C$5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AFBE71-78A9-4F0B-80D8-71D20A8DADB6}" name="Tabla23141114" displayName="Tabla23141114" ref="H7:K14" totalsRowCount="1">
  <autoFilter ref="H7:K13" xr:uid="{00AFBE71-78A9-4F0B-80D8-71D20A8DADB6}"/>
  <tableColumns count="4">
    <tableColumn id="1" xr3:uid="{9A10E32F-A548-41EB-8153-ECCE0AF439D5}" name="CONCEPTO" totalsRowLabel="Total"/>
    <tableColumn id="2" xr3:uid="{53EC5623-312B-494B-85AE-BBA30342FAFF}" name="VALOR"/>
    <tableColumn id="3" xr3:uid="{7BBBCAA2-1AF3-43D6-9E18-B1B76EC8C790}" name="CANTIDAD" totalsRowDxfId="447"/>
    <tableColumn id="4" xr3:uid="{DAF8AA4F-A08A-4472-B45D-2C024AE4088A}" name="SUB TOTAL" totalsRowFunction="sum" totalsRowDxfId="446">
      <calculatedColumnFormula>Tabla23141114[[#This Row],[VALOR]]*Tabla23141114[[#This Row],[CANTIDAD]]</calculatedColumnFormula>
    </tableColumn>
  </tableColumns>
  <tableStyleInfo name="TableStyleMedium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037FFDC-377B-446B-B868-EB7F014208A3}" name="Tabla332101315" displayName="Tabla332101315" ref="H16:K19" totalsRowShown="0">
  <autoFilter ref="H16:K19" xr:uid="{4037FFDC-377B-446B-B868-EB7F014208A3}"/>
  <tableColumns count="4">
    <tableColumn id="1" xr3:uid="{E650F57A-5F74-4072-817F-F7BEF44D104A}" name="FECHA" dataDxfId="445"/>
    <tableColumn id="2" xr3:uid="{2AEE04F8-E913-43F5-B11E-D4F1C9D28C17}" name="CONCEPTO"/>
    <tableColumn id="3" xr3:uid="{299DA3ED-ED92-4B98-9C55-73AEE7EB59E7}" name="CANTIDAD"/>
    <tableColumn id="4" xr3:uid="{C412F889-CDD8-4E8D-86D6-CCD9DBBC09FF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073488C-352A-40BC-8D14-31F33FA42EFA}" name="Tabla13037" displayName="Tabla13037" ref="B7:F24" totalsRowCount="1">
  <autoFilter ref="B7:F23" xr:uid="{A073488C-352A-40BC-8D14-31F33FA42EFA}"/>
  <tableColumns count="5">
    <tableColumn id="1" xr3:uid="{E8F97B9D-BBD6-4D75-9D82-170717C01702}" name="FECHA" totalsRowLabel="Total" dataDxfId="444"/>
    <tableColumn id="2" xr3:uid="{BDFAB78F-23EC-4108-88DE-523D993ED924}" name="ENTRADA" dataDxfId="443"/>
    <tableColumn id="3" xr3:uid="{7EBD0943-48C7-4B4F-AFD3-C49C339611E3}" name="SALIDA" dataDxfId="442"/>
    <tableColumn id="4" xr3:uid="{E295CE7B-B893-4FE5-A4CA-D59F5354CA84}" name="TOTAL" totalsRowFunction="custom" dataDxfId="440" totalsRowDxfId="441">
      <calculatedColumnFormula>D8-C8</calculatedColumnFormula>
      <totalsRowFormula>SUBTOTAL(109,E8:E23)</totalsRowFormula>
    </tableColumn>
    <tableColumn id="5" xr3:uid="{6A623BC2-F50E-4C46-9B16-84BF58364CD9}" name="EXTRAS" totalsRowFunction="sum" dataDxfId="438" totalsRowDxfId="439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1654F2E-995A-4568-8163-A76993497CE6}" name="Tabla130" displayName="Tabla130" ref="B7:F24" totalsRowCount="1">
  <autoFilter ref="B7:F23" xr:uid="{81654F2E-995A-4568-8163-A76993497CE6}"/>
  <tableColumns count="5">
    <tableColumn id="1" xr3:uid="{CDCB8F75-2859-4437-9EED-9EA7F3B9042D}" name="FECHA" totalsRowLabel="Total" dataDxfId="435"/>
    <tableColumn id="2" xr3:uid="{DCAF8792-80F7-4F42-B995-4ECD27A6183E}" name="ENTRADA" totalsRowFunction="countNums" dataDxfId="434"/>
    <tableColumn id="3" xr3:uid="{300B4FD9-25BB-4C71-8B2F-E53AC6DC619F}" name="SALIDA" dataDxfId="433"/>
    <tableColumn id="4" xr3:uid="{A025EF04-8012-45D4-A16F-BD590680833E}" name="TOTAL" totalsRowFunction="custom" dataDxfId="431" totalsRowDxfId="432">
      <calculatedColumnFormula>D8-C8</calculatedColumnFormula>
      <totalsRowFormula>SUBTOTAL(109,E8:E23)</totalsRowFormula>
    </tableColumn>
    <tableColumn id="5" xr3:uid="{E613052D-6189-4ED8-8D26-4C446D36BF4B}" name="EXTRAS" totalsRowFunction="custom" dataDxfId="429" totalsRowDxfId="430">
      <calculatedColumnFormula>E8-$C$5</calculatedColumnFormula>
      <totalsRowFormula>SUBTOTAL(109,F8:F23)</totalsRow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ED38B7-7B09-4207-A485-702E81B27FB6}" name="Tabla231" displayName="Tabla231" ref="H7:K13" totalsRowCount="1">
  <autoFilter ref="H7:K12" xr:uid="{32ED38B7-7B09-4207-A485-702E81B27FB6}"/>
  <tableColumns count="4">
    <tableColumn id="1" xr3:uid="{193D07EB-20E5-4A61-8FEA-9CD3794A56AE}" name="CONCEPTO" totalsRowLabel="Total"/>
    <tableColumn id="2" xr3:uid="{DC1ADBC6-B426-4530-B198-93D70D3A6670}" name="VALOR"/>
    <tableColumn id="3" xr3:uid="{391AD9FD-8806-43A9-B0C0-3D2FABB1C574}" name="CANTIDAD" totalsRowDxfId="428"/>
    <tableColumn id="4" xr3:uid="{75ABD2B8-BD36-4602-871A-CACA58D1CC41}" name="SUB TOTAL" totalsRowFunction="sum" totalsRowDxfId="427">
      <calculatedColumnFormula>Tabla231[[#This Row],[VALOR]]*Tabla231[[#This Row],[CANTIDAD]]</calculatedColumnFormula>
    </tableColumn>
  </tableColumns>
  <tableStyleInfo name="TableStyleMedium1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4D0A5E0-4523-427B-B0FA-2CFBAC7D60EF}" name="Tabla332" displayName="Tabla332" ref="H15:K18" totalsRowShown="0">
  <autoFilter ref="H15:K18" xr:uid="{B4D0A5E0-4523-427B-B0FA-2CFBAC7D60EF}"/>
  <tableColumns count="4">
    <tableColumn id="1" xr3:uid="{882D1E2E-9FE5-4A06-BB1E-C773C39E231F}" name="FECHA" dataDxfId="426"/>
    <tableColumn id="2" xr3:uid="{FB7D753D-70A3-4717-BCE2-A6D80B133C37}" name="CONCEPTO"/>
    <tableColumn id="3" xr3:uid="{1F6C7C6E-1FC2-4581-BF89-7EC4B0BBC8EE}" name="CANTIDAD"/>
    <tableColumn id="4" xr3:uid="{8F623ECB-25F5-4B7C-BD69-5A7B56C890D0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A926531A-C674-40D7-B6D9-104C14955AA7}" name="Tabla2314111416182368" displayName="Tabla2314111416182368" ref="H8:K14" totalsRowCount="1">
  <autoFilter ref="H8:K13" xr:uid="{5123D589-F930-4420-AB15-E60BBBE01CD6}"/>
  <tableColumns count="4">
    <tableColumn id="1" xr3:uid="{D780EBCA-437A-429E-859A-40B237625166}" name="CONCEPTO" totalsRowLabel="Total"/>
    <tableColumn id="2" xr3:uid="{E02DD332-85A7-434A-ADE6-FF9550277693}" name="VALOR"/>
    <tableColumn id="3" xr3:uid="{3AAC54DD-81E7-4DC8-B161-B9F2F0CC0A73}" name="CANTIDAD" totalsRowDxfId="423"/>
    <tableColumn id="4" xr3:uid="{652363B5-9BFF-42CA-97B0-DB319EA5922E}" name="SUB TOTAL" totalsRowFunction="sum" totalsRowDxfId="422">
      <calculatedColumnFormula>Tabla2314111416182368[[#This Row],[VALOR]]*Tabla2314111416182368[[#This Row],[CANTIDAD]]</calculatedColumnFormula>
    </tableColumn>
  </tableColumns>
  <tableStyleInfo name="TableStyleMedium1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AA3CE12-9A28-4D80-8DDF-87AF1019CFA3}" name="Tabla33210131517192569" displayName="Tabla33210131517192569" ref="H16:K19" totalsRowShown="0">
  <autoFilter ref="H16:K19" xr:uid="{B8AFB50E-3BE1-4B15-A222-A565EE85DA57}"/>
  <tableColumns count="4">
    <tableColumn id="1" xr3:uid="{2A7D671A-4F21-4F33-AD66-61CD02EB0E95}" name="FECHA" dataDxfId="421"/>
    <tableColumn id="2" xr3:uid="{AE150C87-1C90-4C33-8CA9-59D1BBBD9F66}" name="CONCEPTO"/>
    <tableColumn id="3" xr3:uid="{6E117FB9-20BC-44EC-A717-D7B54DE54CB5}" name="CANTIDAD"/>
    <tableColumn id="4" xr3:uid="{D9875938-4822-4ECE-963B-2835DBDE79E0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117CA9E-5197-4029-9328-AE0A33E8A4CD}" name="Tabla1304170" displayName="Tabla1304170" ref="B8:F25" totalsRowCount="1">
  <autoFilter ref="B8:F24" xr:uid="{3E6D911F-9D73-41BE-8C32-98EF101C56E4}"/>
  <tableColumns count="5">
    <tableColumn id="1" xr3:uid="{B3C43B19-B804-40C1-A137-8B939BB1289C}" name="FECHA" totalsRowLabel="Total" dataDxfId="420"/>
    <tableColumn id="2" xr3:uid="{60780F1C-895E-4EE2-BFB2-E116B1B27447}" name="ENTRADA" totalsRowFunction="countNums" dataDxfId="419"/>
    <tableColumn id="3" xr3:uid="{B4D9E4BC-F401-406E-B361-8B0A867CD31A}" name="SALIDA" dataDxfId="418"/>
    <tableColumn id="4" xr3:uid="{30C708D3-46CE-4B57-9D1E-AD11E653AAB5}" name="TOTAL" totalsRowFunction="custom" dataDxfId="416" totalsRowDxfId="417">
      <calculatedColumnFormula>D9-C9</calculatedColumnFormula>
      <totalsRowFormula>SUBTOTAL(109,E9:E24)</totalsRowFormula>
    </tableColumn>
    <tableColumn id="5" xr3:uid="{BADAB31F-B634-44A1-8217-BC47B2F56BBD}" name="EXTRAS" totalsRowFunction="sum" dataDxfId="414" totalsRowDxfId="415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123D589-F930-4420-AB15-E60BBBE01CD6}" name="Tabla23141114161823" displayName="Tabla23141114161823" ref="H8:K14" totalsRowCount="1">
  <autoFilter ref="H8:K13" xr:uid="{5123D589-F930-4420-AB15-E60BBBE01CD6}"/>
  <tableColumns count="4">
    <tableColumn id="1" xr3:uid="{CEA21DB5-FC39-424B-B8D6-D714E881CC65}" name="CONCEPTO" totalsRowLabel="Total"/>
    <tableColumn id="2" xr3:uid="{F9628521-47C0-4BE8-9426-3C9DFFB063B5}" name="VALOR"/>
    <tableColumn id="3" xr3:uid="{EF8503AF-7785-476A-9198-711D5732FBD8}" name="CANTIDAD" totalsRowDxfId="411"/>
    <tableColumn id="4" xr3:uid="{469D6F5B-BD41-4441-8260-37A00E1A3690}" name="SUB TOTAL" totalsRowFunction="sum" totalsRowDxfId="410">
      <calculatedColumnFormula>Tabla23141114161823[[#This Row],[VALOR]]*Tabla23141114161823[[#This Row],[CANTIDAD]]</calculatedColumnFormula>
    </tableColumn>
  </tableColumns>
  <tableStyleInfo name="TableStyleMedium1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8AFB50E-3BE1-4B15-A222-A565EE85DA57}" name="Tabla332101315171925" displayName="Tabla332101315171925" ref="H16:K19" totalsRowShown="0">
  <autoFilter ref="H16:K19" xr:uid="{B8AFB50E-3BE1-4B15-A222-A565EE85DA57}"/>
  <tableColumns count="4">
    <tableColumn id="1" xr3:uid="{E727666A-0296-4134-A834-E42B017BE353}" name="FECHA" dataDxfId="409"/>
    <tableColumn id="2" xr3:uid="{41AD47FC-FDD6-4C4D-9678-8AB4A5FBC4BC}" name="CONCEPTO"/>
    <tableColumn id="3" xr3:uid="{00E7435F-63FB-4C0A-AB75-3B437B5FCCBF}" name="CANTIDAD"/>
    <tableColumn id="4" xr3:uid="{A96BCC22-5E1A-45C2-AF02-FCEFFF7E309A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E6D911F-9D73-41BE-8C32-98EF101C56E4}" name="Tabla13041" displayName="Tabla13041" ref="B8:F25" totalsRowCount="1">
  <autoFilter ref="B8:F24" xr:uid="{3E6D911F-9D73-41BE-8C32-98EF101C56E4}"/>
  <tableColumns count="5">
    <tableColumn id="1" xr3:uid="{F852C034-F6AE-4D02-9CF6-36E3707A79F5}" name="FECHA" totalsRowLabel="Total" dataDxfId="408"/>
    <tableColumn id="2" xr3:uid="{770AB4E8-8974-4954-9734-D555697FE828}" name="ENTRADA" totalsRowFunction="countNums" dataDxfId="407"/>
    <tableColumn id="3" xr3:uid="{EAFBA2F7-7178-46B5-8AB9-A132D319737C}" name="SALIDA" dataDxfId="406"/>
    <tableColumn id="4" xr3:uid="{202BAD33-41B7-4509-8E18-170942251717}" name="TOTAL" totalsRowFunction="custom" dataDxfId="404" totalsRowDxfId="405">
      <calculatedColumnFormula>D9-C9</calculatedColumnFormula>
      <totalsRowFormula>SUBTOTAL(109,E9:E24)</totalsRowFormula>
    </tableColumn>
    <tableColumn id="5" xr3:uid="{5052D6EE-2316-44F9-8378-C4FBA5AFC748}" name="EXTRAS" totalsRowFunction="sum" dataDxfId="402" totalsRowDxfId="403">
      <calculatedColumnFormula>Tabla13041[[#This Row],[TOTAL]]-$C$5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91D078-AF1C-4B50-A144-2796F85B6106}" name="Tabla2314119" displayName="Tabla2314119" ref="H7:K13" totalsRowCount="1">
  <autoFilter ref="H7:K12" xr:uid="{2A2CBAEE-F347-49F8-9352-782D1104E3FB}"/>
  <tableColumns count="4">
    <tableColumn id="1" xr3:uid="{998A2A3B-C006-4B11-8CAB-E59D7DA4F00A}" name="CONCEPTO" totalsRowLabel="Total"/>
    <tableColumn id="2" xr3:uid="{5243937B-C284-4287-8096-C62CEE22FFE8}" name="VALOR"/>
    <tableColumn id="3" xr3:uid="{8417EFF6-721C-4C44-B894-0C5EADB045AA}" name="CANTIDAD" totalsRowDxfId="399"/>
    <tableColumn id="4" xr3:uid="{2EB26A7C-9455-4AE0-B6B0-F9C52D3F330E}" name="SUB TOTAL" totalsRowFunction="sum" totalsRowDxfId="398">
      <calculatedColumnFormula>Tabla2314119[[#This Row],[VALOR]]*Tabla2314119[[#This Row],[CANTIDAD]]</calculatedColumnFormula>
    </tableColumn>
  </tableColumns>
  <tableStyleInfo name="TableStyleMedium1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4EF5B3-E9E9-4180-B045-E47ADD86E57D}" name="Tabla332101312" displayName="Tabla332101312" ref="H15:K18" totalsRowShown="0">
  <autoFilter ref="H15:K18" xr:uid="{A88242CC-CFB0-47BA-8DF9-69C9FB081647}"/>
  <tableColumns count="4">
    <tableColumn id="1" xr3:uid="{43EC610B-E97C-408E-B61D-0B0830586FB6}" name="FECHA" dataDxfId="397"/>
    <tableColumn id="2" xr3:uid="{5A4E1169-04F7-4BE5-8622-C67168208C24}" name="CONCEPTO"/>
    <tableColumn id="3" xr3:uid="{85D2742A-0574-4E5B-97CB-0A29964D9923}" name="CANTIDAD"/>
    <tableColumn id="4" xr3:uid="{A00BE5B4-516D-4EB7-9E37-EAA98A9FC403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F39A96-8FD8-4D5C-AB67-54B0019C8F69}" name="Tabla1303521" displayName="Tabla1303521" ref="B7:F24" totalsRowCount="1">
  <autoFilter ref="B7:F23" xr:uid="{C8A2D567-6502-47CD-9B67-9CBB03D644D0}"/>
  <tableColumns count="5">
    <tableColumn id="1" xr3:uid="{8109EB0C-B920-4342-A2F1-7A7431550256}" name="FECHA" totalsRowLabel="Total" dataDxfId="396"/>
    <tableColumn id="2" xr3:uid="{46E8C5B1-B4EC-4C45-8517-9F33B294742D}" name="ENTRADA" dataDxfId="395"/>
    <tableColumn id="3" xr3:uid="{AD1F7D5F-1914-415E-B69C-0803EC93C02C}" name="SALIDA" dataDxfId="394"/>
    <tableColumn id="4" xr3:uid="{9A8BA5DF-ED8E-412D-96A9-AB4216C4CED8}" name="TOTAL" totalsRowFunction="custom" dataDxfId="392" totalsRowDxfId="393">
      <calculatedColumnFormula>D8-C8</calculatedColumnFormula>
      <totalsRowFormula>SUBTOTAL(109,E8:E23)</totalsRowFormula>
    </tableColumn>
    <tableColumn id="5" xr3:uid="{FBCC5BA6-6B9D-41F6-A7AE-9FEE7AAA694B}" name="EXTRAS" totalsRowFunction="sum" dataDxfId="390" totalsRowDxfId="391">
      <calculatedColumnFormula>E8-$C$5</calculatedColumnFormula>
    </tableColumn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DB9812C-4D9B-486E-BD9E-7B0A111E9200}" name="Tabla231411141618231159" displayName="Tabla231411141618231159" ref="H8:K14" totalsRowCount="1">
  <autoFilter ref="H8:K13" xr:uid="{5123D589-F930-4420-AB15-E60BBBE01CD6}"/>
  <tableColumns count="4">
    <tableColumn id="1" xr3:uid="{4C4CCA25-BE04-41D5-82D0-5AC4B11FAE56}" name="CONCEPTO" totalsRowLabel="Total"/>
    <tableColumn id="2" xr3:uid="{E89ECF3F-3226-4AE6-8089-A07377955159}" name="VALOR"/>
    <tableColumn id="3" xr3:uid="{000A1E85-71C5-4572-A140-F045F294939E}" name="CANTIDAD" totalsRowDxfId="387"/>
    <tableColumn id="4" xr3:uid="{3F5B87A0-170B-471C-AD7B-BF3960B67FBD}" name="SUB TOTAL" totalsRowFunction="sum" totalsRowDxfId="386">
      <calculatedColumnFormula>Tabla231411141618231159[[#This Row],[VALOR]]*Tabla231411141618231159[[#This Row],[CANTIDAD]]</calculatedColumnFormula>
    </tableColumn>
  </tableColumns>
  <tableStyleInfo name="TableStyleMedium1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2495207-1A12-46FC-A3EF-8B9D3318B8E8}" name="Tabla3321013151719251360" displayName="Tabla3321013151719251360" ref="H16:K19" totalsRowShown="0">
  <autoFilter ref="H16:K19" xr:uid="{B8AFB50E-3BE1-4B15-A222-A565EE85DA57}"/>
  <tableColumns count="4">
    <tableColumn id="1" xr3:uid="{DFD47F52-ADC8-4C33-AF87-2DEEBE0AA438}" name="FECHA" dataDxfId="385"/>
    <tableColumn id="2" xr3:uid="{58F01B22-4482-462D-A885-93FC7927C503}" name="CONCEPTO"/>
    <tableColumn id="3" xr3:uid="{465776B7-F569-4EFA-BD19-F33B1CA79981}" name="CANTIDAD"/>
    <tableColumn id="4" xr3:uid="{8982D74C-95D5-40DF-8FFB-B0F93C136330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2A00A4F-27E0-45D3-B286-EA9E68B20E41}" name="Tabla130413571" displayName="Tabla130413571" ref="B8:F25" totalsRowCount="1">
  <autoFilter ref="B8:F24" xr:uid="{3E6D911F-9D73-41BE-8C32-98EF101C56E4}"/>
  <tableColumns count="5">
    <tableColumn id="1" xr3:uid="{6256AE96-2970-42FA-A981-7A9790BC8C58}" name="FECHA" totalsRowLabel="Total" dataDxfId="384"/>
    <tableColumn id="2" xr3:uid="{EC6920ED-3216-4A9E-8902-8B96A430894F}" name="ENTRADA" totalsRowFunction="countNums" dataDxfId="383"/>
    <tableColumn id="3" xr3:uid="{C711B7C6-C4C3-42A1-BCB3-C1DF84C02BCD}" name="SALIDA" dataDxfId="382"/>
    <tableColumn id="4" xr3:uid="{2F297E8B-1C90-4F0E-BE4B-568ECC8C1D33}" name="TOTAL" totalsRowFunction="custom" dataDxfId="380" totalsRowDxfId="381">
      <calculatedColumnFormula>D9-C9</calculatedColumnFormula>
      <totalsRowFormula>SUBTOTAL(109,E9:E24)</totalsRowFormula>
    </tableColumn>
    <tableColumn id="5" xr3:uid="{26B80A86-A06A-49D0-864F-55826CBFBC22}" name="EXTRAS" totalsRowFunction="sum" dataDxfId="378" totalsRowDxfId="379">
      <calculatedColumnFormula>E9-$C$5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F817E5-3492-42F0-901A-54CDA7334307}" name="Tabla2314111416" displayName="Tabla2314111416" ref="H8:K14" totalsRowCount="1">
  <autoFilter ref="H8:K13" xr:uid="{F8F817E5-3492-42F0-901A-54CDA7334307}"/>
  <tableColumns count="4">
    <tableColumn id="1" xr3:uid="{7F243C0D-AEED-4917-8295-13CFA4F91586}" name="CONCEPTO" totalsRowLabel="Total"/>
    <tableColumn id="2" xr3:uid="{BD805699-C516-44C6-BEEC-8AD218DE7CF2}" name="VALOR"/>
    <tableColumn id="3" xr3:uid="{91B48201-3F6D-473F-B677-BAF0222CB0E7}" name="CANTIDAD" totalsRowDxfId="375"/>
    <tableColumn id="4" xr3:uid="{70077C0D-0C2D-453D-8539-A3C7A238F4F9}" name="SUB TOTAL" totalsRowFunction="sum" totalsRowDxfId="374">
      <calculatedColumnFormula>Tabla2314111416[[#This Row],[VALOR]]*Tabla2314111416[[#This Row],[CANTIDAD]]</calculatedColumnFormula>
    </tableColumn>
  </tableColumns>
  <tableStyleInfo name="TableStyleMedium1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5D4C00-6D7F-4EBF-931F-F24DC8E4DFEE}" name="Tabla33210131517" displayName="Tabla33210131517" ref="H16:K19" totalsRowShown="0">
  <autoFilter ref="H16:K19" xr:uid="{FD5D4C00-6D7F-4EBF-931F-F24DC8E4DFEE}"/>
  <tableColumns count="4">
    <tableColumn id="1" xr3:uid="{500550CA-0691-460D-A36F-F9D0240B8E94}" name="FECHA" dataDxfId="373"/>
    <tableColumn id="2" xr3:uid="{A9BC7755-1534-48DC-AF9C-05C4A3BE66D2}" name="CONCEPTO"/>
    <tableColumn id="3" xr3:uid="{237F380E-A73B-41D0-A07F-4A825B9DFEA3}" name="CANTIDAD"/>
    <tableColumn id="4" xr3:uid="{04AFDEEC-AF2A-42D1-9B79-AAC5CAA7B92D}" name="TOTAL" dataDxfId="372">
      <calculatedColumnFormula>K14-J17</calculatedColumnFormula>
    </tableColumn>
  </tableColumns>
  <tableStyleInfo name="TableStyleMedium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CAF76DF-CEBE-49F0-B3B9-9DF4CA1E5143}" name="Tabla13038" displayName="Tabla13038" ref="B7:F24" totalsRowCount="1">
  <autoFilter ref="B7:F23" xr:uid="{9CAF76DF-CEBE-49F0-B3B9-9DF4CA1E5143}"/>
  <tableColumns count="5">
    <tableColumn id="1" xr3:uid="{4E5EB237-75B8-4FCC-B91B-612DE09816BA}" name="FECHA" totalsRowLabel="Total" dataDxfId="371"/>
    <tableColumn id="2" xr3:uid="{98AF619D-69CE-4514-905A-829E6E000820}" name="ENTRADA" totalsRowFunction="custom" dataDxfId="370">
      <totalsRowFormula>SUBTOTAL(102,Tabla130[ENTRADA])</totalsRowFormula>
    </tableColumn>
    <tableColumn id="3" xr3:uid="{4B7DFBE0-BA52-47E3-8868-D1B053856EE1}" name="SALIDA" dataDxfId="369"/>
    <tableColumn id="4" xr3:uid="{9A008A11-83C8-455F-A41E-3582A082C53F}" name="TOTAL" totalsRowFunction="custom" dataDxfId="367" totalsRowDxfId="368">
      <calculatedColumnFormula>D8-C8</calculatedColumnFormula>
      <totalsRowFormula>SUBTOTAL(109,E8:E23)</totalsRowFormula>
    </tableColumn>
    <tableColumn id="5" xr3:uid="{683CC075-B20D-44D5-B692-2308327F3337}" name="EXTRAS" totalsRowFunction="sum" dataDxfId="365" totalsRowDxfId="366">
      <calculatedColumnFormula>E8-$C$5</calculatedColumnFormula>
    </tableColumn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374932-1A1C-4A5A-B14E-204C44A2855C}" name="Tabla2314111416182311" displayName="Tabla2314111416182311" ref="H8:K14" totalsRowCount="1">
  <autoFilter ref="H8:K13" xr:uid="{5123D589-F930-4420-AB15-E60BBBE01CD6}"/>
  <tableColumns count="4">
    <tableColumn id="1" xr3:uid="{692B7ABF-55AA-4A40-A12D-2A3B5AF9D551}" name="CONCEPTO" totalsRowLabel="Total"/>
    <tableColumn id="2" xr3:uid="{25235269-0324-40B9-8BFD-459EB776111D}" name="VALOR"/>
    <tableColumn id="3" xr3:uid="{A556B5E1-358E-4972-B445-23B6B7AACFFA}" name="CANTIDAD" totalsRowDxfId="362"/>
    <tableColumn id="4" xr3:uid="{87B210CD-B436-4D8C-9C4E-0E023DB24606}" name="SUB TOTAL" totalsRowFunction="sum" totalsRowDxfId="361">
      <calculatedColumnFormula>Tabla2314111416182311[[#This Row],[VALOR]]*Tabla2314111416182311[[#This Row],[CANTIDAD]]</calculatedColumnFormula>
    </tableColumn>
  </tableColumns>
  <tableStyleInfo name="TableStyleMedium1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85E3DC-8FA4-4D30-8138-81DD92277DB9}" name="Tabla33210131517192513" displayName="Tabla33210131517192513" ref="H16:K19" totalsRowShown="0">
  <autoFilter ref="H16:K19" xr:uid="{B8AFB50E-3BE1-4B15-A222-A565EE85DA57}"/>
  <tableColumns count="4">
    <tableColumn id="1" xr3:uid="{92DEA653-6078-4757-8658-384FD39D1B82}" name="FECHA" dataDxfId="360"/>
    <tableColumn id="2" xr3:uid="{75467C7C-E2F0-4C46-A239-86F09C5A188C}" name="CONCEPTO"/>
    <tableColumn id="3" xr3:uid="{B3B7F0B3-C7DF-41C6-9E83-F7A4F6C6690A}" name="CANTIDAD"/>
    <tableColumn id="4" xr3:uid="{046A690B-FEBC-4B5B-BB29-D1E2BEABDED9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32B0845-FB9C-40E2-A257-E74B6C974AB2}" name="Tabla1304135" displayName="Tabla1304135" ref="B8:F25" totalsRowCount="1">
  <autoFilter ref="B8:F24" xr:uid="{3E6D911F-9D73-41BE-8C32-98EF101C56E4}"/>
  <tableColumns count="5">
    <tableColumn id="1" xr3:uid="{C770A3CF-364A-420C-B77E-AF836D8A1F55}" name="FECHA" totalsRowLabel="Total" dataDxfId="359"/>
    <tableColumn id="2" xr3:uid="{43FF01AA-6BE0-4667-B694-A71CCE8CAD6D}" name="ENTRADA" totalsRowFunction="countNums" dataDxfId="358"/>
    <tableColumn id="3" xr3:uid="{EFC40280-4465-423F-B81D-DF5F8E3716E0}" name="SALIDA" dataDxfId="357"/>
    <tableColumn id="4" xr3:uid="{BD9A09F2-4B50-442F-92FB-EA50888937D6}" name="TOTAL" totalsRowFunction="custom" dataDxfId="355" totalsRowDxfId="356">
      <calculatedColumnFormula>D9-C9</calculatedColumnFormula>
      <totalsRowFormula>SUBTOTAL(109,E9:E24)</totalsRowFormula>
    </tableColumn>
    <tableColumn id="5" xr3:uid="{3868C51A-3757-4975-B088-83955059170B}" name="EXTRAS" totalsRowFunction="sum" dataDxfId="353" totalsRowDxfId="354">
      <calculatedColumnFormula>E9-$C$5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E4FB426-9B50-4567-BFAA-82A125948060}" name="Tabla13039" displayName="Tabla13039" ref="B7:F33" totalsRowCount="1">
  <autoFilter ref="B7:F32" xr:uid="{FE4FB426-9B50-4567-BFAA-82A125948060}"/>
  <tableColumns count="5">
    <tableColumn id="1" xr3:uid="{7F37A4F3-9A6F-4B9E-9E2A-C033BB8D67D0}" name="Columna1" totalsRowLabel="Total" dataDxfId="351"/>
    <tableColumn id="2" xr3:uid="{982F5CD9-58BA-4174-897E-752AE36158CB}" name="Columna2" dataDxfId="350"/>
    <tableColumn id="3" xr3:uid="{63CB9294-2AC6-4581-8722-A41CAB878118}" name="Columna3" dataDxfId="349"/>
    <tableColumn id="4" xr3:uid="{566C0DE3-C963-4716-8847-7275829182A2}" name="Columna4" totalsRowFunction="custom" dataDxfId="347" totalsRowDxfId="348">
      <calculatedColumnFormula>D8-C8</calculatedColumnFormula>
      <totalsRowFormula>SUBTOTAL(109,E8:E32)</totalsRowFormula>
    </tableColumn>
    <tableColumn id="5" xr3:uid="{156C953B-31C8-4D04-9B73-E116226FE868}" name="Columna5" totalsRowFunction="sum" dataDxfId="345" totalsRowDxfId="346">
      <calculatedColumnFormula>E8-$C$5</calculatedColumnFormula>
    </tableColumn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6BD90CB-8FF2-469A-9CF3-82938CB037F7}" name="Tabla2726" displayName="Tabla2726" ref="A5:D13" totalsRowCount="1">
  <autoFilter ref="A5:D12" xr:uid="{96BD90CB-8FF2-469A-9CF3-82938CB037F7}"/>
  <tableColumns count="4">
    <tableColumn id="1" xr3:uid="{009F1004-F84F-4852-8699-57D27F2B3C3A}" name="CONCEPTO" totalsRowLabel="Total" dataDxfId="343" totalsRowDxfId="344"/>
    <tableColumn id="2" xr3:uid="{B19486AA-0BCB-4814-AA9A-8AD994450DD8}" name="VALOR" dataDxfId="342">
      <calculatedColumnFormula>'LEO SOTO'!I10</calculatedColumnFormula>
    </tableColumn>
    <tableColumn id="3" xr3:uid="{C8C1AA42-EC4E-4B53-9C83-FA68E218F222}" name="CANTIDAD" dataDxfId="340" totalsRowDxfId="341">
      <calculatedColumnFormula>'LEO SOTO'!J10</calculatedColumnFormula>
    </tableColumn>
    <tableColumn id="4" xr3:uid="{60404252-9432-48D0-9AA1-C0B2F838FB85}" name="SUB TOTAL" totalsRowFunction="sum" totalsRowDxfId="339">
      <calculatedColumnFormula>'LEO SOTO'!K10</calculatedColumnFormula>
    </tableColumn>
  </tableColumns>
  <tableStyleInfo name="TableStyleMedium1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B222B35-98E3-4B87-BF58-CBA7507539EF}" name="Tabla3828" displayName="Tabla3828" ref="A15:D20" totalsRowShown="0" dataDxfId="338">
  <autoFilter ref="A15:D20" xr:uid="{8B222B35-98E3-4B87-BF58-CBA7507539EF}"/>
  <tableColumns count="4">
    <tableColumn id="1" xr3:uid="{E41E278A-6950-4D92-B4A8-22CE5D9F3DB5}" name="FECHA" dataDxfId="337">
      <calculatedColumnFormula>'LEO SOTO'!H20</calculatedColumnFormula>
    </tableColumn>
    <tableColumn id="2" xr3:uid="{71551426-C749-48DE-BE52-F75F297A9C92}" name="CONCEPTO" dataDxfId="336"/>
    <tableColumn id="3" xr3:uid="{F8427F23-BE3A-4345-B8BB-B369740E532E}" name="CANTIDAD" dataDxfId="335">
      <calculatedColumnFormula>'LEO SOTO'!#REF!</calculatedColumnFormula>
    </tableColumn>
    <tableColumn id="4" xr3:uid="{4D7F1ACA-90CB-486E-B1E7-64E284A5C45B}" name="TOTAL" dataDxfId="334">
      <calculatedColumnFormula>'LEO SOTO'!K20</calculatedColumnFormula>
    </tableColumn>
  </tableColumns>
  <tableStyleInfo name="TableStyleMedium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321688-592D-4C69-8F81-640DFBD7BABD}" name="Tabla27229" displayName="Tabla27229" ref="F5:I13" totalsRowCount="1">
  <autoFilter ref="F5:I12" xr:uid="{EF321688-592D-4C69-8F81-640DFBD7BABD}"/>
  <tableColumns count="4">
    <tableColumn id="1" xr3:uid="{174383A1-FD4C-4B1B-B8C6-DACC0B9E0559}" name="CONCEPTO" totalsRowLabel="Total" dataDxfId="332" totalsRowDxfId="333">
      <calculatedColumnFormula>GABRIEL!G10</calculatedColumnFormula>
    </tableColumn>
    <tableColumn id="2" xr3:uid="{102680C2-596A-44FB-BD6E-08177D79369C}" name="VALOR" dataDxfId="330" totalsRowDxfId="331">
      <calculatedColumnFormula>GABRIEL!H10</calculatedColumnFormula>
    </tableColumn>
    <tableColumn id="3" xr3:uid="{98DEB2FB-BED3-4D39-92C9-78BED8DB3827}" name="CANTIDAD" dataDxfId="328" totalsRowDxfId="329">
      <calculatedColumnFormula>GABRIEL!I10</calculatedColumnFormula>
    </tableColumn>
    <tableColumn id="4" xr3:uid="{2462E799-61F2-4D13-99F1-62AAEED062E0}" name="SUB TOTAL" totalsRowFunction="sum" dataDxfId="326" totalsRowDxfId="327">
      <calculatedColumnFormula>GABRIEL!J10</calculatedColumnFormula>
    </tableColumn>
  </tableColumns>
  <tableStyleInfo name="TableStyleMedium1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A1C1F08-1372-4577-B9CD-8F6089B14F1A}" name="Tabla38333" displayName="Tabla38333" ref="F15:I20" totalsRowShown="0">
  <autoFilter ref="F15:I20" xr:uid="{CA1C1F08-1372-4577-B9CD-8F6089B14F1A}"/>
  <tableColumns count="4">
    <tableColumn id="1" xr3:uid="{653DF47B-B0E1-4DF0-B075-6563570AF253}" name="FECHA" dataDxfId="325">
      <calculatedColumnFormula>GABRIEL!G20</calculatedColumnFormula>
    </tableColumn>
    <tableColumn id="2" xr3:uid="{EFFA561E-7852-4FF0-B932-76EF952FE6B9}" name="CONCEPTO" dataDxfId="324"/>
    <tableColumn id="3" xr3:uid="{D71F63A3-BA83-44D5-A003-1DF3C93C111E}" name="CANTIDAD" dataDxfId="323">
      <calculatedColumnFormula>GABRIEL!I20</calculatedColumnFormula>
    </tableColumn>
    <tableColumn id="4" xr3:uid="{FF3B25B9-F072-4246-B370-1C40BDB732E0}" name="TOTAL">
      <calculatedColumnFormula>GABRIEL!J20</calculatedColumnFormula>
    </tableColumn>
  </tableColumns>
  <tableStyleInfo name="TableStyleMedium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D81448E-D349-44FE-BDF1-50EF7908CA24}" name="Tabla23142" displayName="Tabla23142" ref="K5:N11" totalsRowCount="1">
  <autoFilter ref="K5:N10" xr:uid="{3D81448E-D349-44FE-BDF1-50EF7908CA24}"/>
  <tableColumns count="4">
    <tableColumn id="1" xr3:uid="{9C9DD35A-E64C-4A70-AFAE-AC9D24DA9BE9}" name="CONCEPTO" totalsRowLabel="Total" dataDxfId="321" totalsRowDxfId="322">
      <calculatedColumnFormula>MIGUEL!H8</calculatedColumnFormula>
    </tableColumn>
    <tableColumn id="2" xr3:uid="{7F47193E-C637-40B1-A6DC-8DCF3BF51A99}" name="VALOR" dataDxfId="319" totalsRowDxfId="320">
      <calculatedColumnFormula>MIGUEL!I8</calculatedColumnFormula>
    </tableColumn>
    <tableColumn id="3" xr3:uid="{D81673EF-79CD-4B5F-B8D2-0D6E0453860D}" name="CANTIDAD" dataDxfId="317" totalsRowDxfId="318">
      <calculatedColumnFormula>MIGUEL!J8</calculatedColumnFormula>
    </tableColumn>
    <tableColumn id="4" xr3:uid="{36C4E962-3B00-4D09-8C3B-66B0163EB08D}" name="SUB TOTAL" totalsRowFunction="sum" dataDxfId="315" totalsRowDxfId="316">
      <calculatedColumnFormula>MIGUEL!K8</calculatedColumnFormula>
    </tableColumn>
  </tableColumns>
  <tableStyleInfo name="TableStyleMedium1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177A252-27BE-4C5E-AEFB-D76FE60F5D67}" name="Tabla33243" displayName="Tabla33243" ref="K13:N16" totalsRowShown="0" headerRowDxfId="314" dataDxfId="313">
  <autoFilter ref="K13:N16" xr:uid="{4177A252-27BE-4C5E-AEFB-D76FE60F5D67}"/>
  <tableColumns count="4">
    <tableColumn id="1" xr3:uid="{C69DC6C3-0605-4E2B-AA20-08DE7F26EAF2}" name="FECHA" dataDxfId="312"/>
    <tableColumn id="2" xr3:uid="{E0EBD881-D438-411E-A669-A6094339F756}" name="CONCEPTO" dataDxfId="311"/>
    <tableColumn id="3" xr3:uid="{03B2E855-D9A9-440B-973B-35F1B3D7AA84}" name="CANTIDAD" dataDxfId="310">
      <calculatedColumnFormula>MIGUEL!J16</calculatedColumnFormula>
    </tableColumn>
    <tableColumn id="4" xr3:uid="{CC7CC8F1-BC08-4EAD-876A-F11DE58ACF21}" name="TOTAL" dataDxfId="309">
      <calculatedColumnFormula>MIGUEL!K16</calculatedColumnFormula>
    </tableColumn>
  </tableColumns>
  <tableStyleInfo name="TableStyleMedium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ABE88C5-D3B7-4F58-A758-B042F3ACDF85}" name="Tabla2314111448" displayName="Tabla2314111448" ref="K28:N35" totalsRowCount="1">
  <autoFilter ref="K28:N34" xr:uid="{8ABE88C5-D3B7-4F58-A758-B042F3ACDF85}"/>
  <tableColumns count="4">
    <tableColumn id="1" xr3:uid="{7BEF29F5-3AB5-4963-A725-8AB5272C0575}" name="CONCEPTO" totalsRowLabel="Total" dataDxfId="307" totalsRowDxfId="308">
      <calculatedColumnFormula>WALTER!H8</calculatedColumnFormula>
    </tableColumn>
    <tableColumn id="2" xr3:uid="{F00C1DE4-1C47-4A17-9A99-31D3771A05DD}" name="VALOR" dataDxfId="305" totalsRowDxfId="306">
      <calculatedColumnFormula>WALTER!I8</calculatedColumnFormula>
    </tableColumn>
    <tableColumn id="3" xr3:uid="{83B7BF4B-91C7-4C06-829D-0A0414C00761}" name="CANTIDAD" dataDxfId="303" totalsRowDxfId="304">
      <calculatedColumnFormula>WALTER!J8</calculatedColumnFormula>
    </tableColumn>
    <tableColumn id="4" xr3:uid="{EE2E2095-4129-43A3-AAE6-5A45934D3D0E}" name="SUB TOTAL" totalsRowFunction="sum" dataDxfId="301" totalsRowDxfId="302">
      <calculatedColumnFormula>WALTER!K8</calculatedColumnFormula>
    </tableColumn>
  </tableColumns>
  <tableStyleInfo name="TableStyleMedium1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CB87217-E4F6-43B8-99B4-43CA3CB06A28}" name="Tabla33210131549" displayName="Tabla33210131549" ref="K37:N40" totalsRowShown="0" dataDxfId="300">
  <autoFilter ref="K37:N40" xr:uid="{1CB87217-E4F6-43B8-99B4-43CA3CB06A28}"/>
  <tableColumns count="4">
    <tableColumn id="1" xr3:uid="{4926A08A-1B8E-4CED-B818-7B4158974A3C}" name="FECHA" dataDxfId="299"/>
    <tableColumn id="2" xr3:uid="{3E3F1301-1861-4E3E-A896-E9C211D4B0D3}" name="CONCEPTO" dataDxfId="298"/>
    <tableColumn id="3" xr3:uid="{6D074FBB-DB78-455E-9D71-E336BB036DC7}" name="CANTIDAD" dataDxfId="297">
      <calculatedColumnFormula>WALTER!J17</calculatedColumnFormula>
    </tableColumn>
    <tableColumn id="4" xr3:uid="{DEC93FA7-C321-462F-B8C4-1DE71DE499E4}" name="TOTAL" dataDxfId="296">
      <calculatedColumnFormula>WALTER!K17</calculatedColumnFormula>
    </tableColumn>
  </tableColumns>
  <tableStyleInfo name="TableStyleMedium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8940F10-8A27-45C0-AAA4-915B50888970}" name="Tabla231411144850" displayName="Tabla231411144850" ref="A59:D65" totalsRowCount="1">
  <autoFilter ref="A59:D64" xr:uid="{48940F10-8A27-45C0-AAA4-915B50888970}"/>
  <tableColumns count="4">
    <tableColumn id="1" xr3:uid="{73AF129B-263A-4113-B0FA-7B89E1543FC0}" name="CONCEPTO" totalsRowLabel="Total" dataDxfId="294" totalsRowDxfId="295"/>
    <tableColumn id="2" xr3:uid="{EDAA0272-FFB1-4F99-B78E-44DE994042FF}" name="VALOR" dataDxfId="292" totalsRowDxfId="293">
      <calculatedColumnFormula>WALTER!#REF!</calculatedColumnFormula>
    </tableColumn>
    <tableColumn id="3" xr3:uid="{583038AB-27FD-4679-8CB3-E5E9A4ABE6AB}" name="CANTIDAD" dataDxfId="290" totalsRowDxfId="291">
      <calculatedColumnFormula>WALTER!#REF!</calculatedColumnFormula>
    </tableColumn>
    <tableColumn id="4" xr3:uid="{C498C54B-A96B-4F70-8235-83D756D227A9}" name="SUB TOTAL" totalsRowFunction="sum" dataDxfId="288" totalsRowDxfId="289">
      <calculatedColumnFormula>JUNIOR!K8</calculatedColumnFormula>
    </tableColumn>
  </tableColumns>
  <tableStyleInfo name="TableStyleMedium1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A9440AF-71BD-423F-A817-F3EB180D3689}" name="Tabla3321013154951" displayName="Tabla3321013154951" ref="A67:D71" totalsRowShown="0" dataDxfId="287">
  <autoFilter ref="A67:D71" xr:uid="{2A9440AF-71BD-423F-A817-F3EB180D3689}"/>
  <tableColumns count="4">
    <tableColumn id="1" xr3:uid="{64F41F59-F8BB-4EFA-A7AB-4913C2D38D84}" name="FECHA" dataDxfId="286">
      <calculatedColumnFormula>JUNIOR!H16</calculatedColumnFormula>
    </tableColumn>
    <tableColumn id="2" xr3:uid="{C1C369D0-F5D6-49B9-AF1A-7DC8522D01FC}" name="CONCEPTO" dataDxfId="285"/>
    <tableColumn id="3" xr3:uid="{594C1AA0-87C1-426D-A0BD-E9F1AB1F055C}" name="CANTIDAD" dataDxfId="284">
      <calculatedColumnFormula>JUNIOR!J16</calculatedColumnFormula>
    </tableColumn>
    <tableColumn id="4" xr3:uid="{566F974A-8BB7-4A74-AAF0-502332E71F28}" name="TOTAL" dataDxfId="283">
      <calculatedColumnFormula>JUNIOR!K16</calculatedColumnFormula>
    </tableColumn>
  </tableColumns>
  <tableStyleInfo name="TableStyleMedium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4E3FA58-6A06-4002-8F9B-3C39671F2634}" name="Tabla23141114485052" displayName="Tabla23141114485052" ref="F57:I64" totalsRowCount="1">
  <autoFilter ref="F57:I63" xr:uid="{B4E3FA58-6A06-4002-8F9B-3C39671F2634}"/>
  <tableColumns count="4">
    <tableColumn id="1" xr3:uid="{1CDC9C47-519D-405F-B6F1-B41F25EBB54C}" name="CONCEPTO" totalsRowLabel="Total" dataDxfId="281" totalsRowDxfId="282"/>
    <tableColumn id="2" xr3:uid="{27D3DEFE-0703-4350-8755-64948D453ACA}" name="VALOR" dataDxfId="279" totalsRowDxfId="280">
      <calculatedColumnFormula>WALTER!#REF!</calculatedColumnFormula>
    </tableColumn>
    <tableColumn id="3" xr3:uid="{C3138401-CDBC-4E76-B07A-53B90006DB3A}" name="CANTIDAD" dataDxfId="277" totalsRowDxfId="278">
      <calculatedColumnFormula>ISAIAS!J8</calculatedColumnFormula>
    </tableColumn>
    <tableColumn id="4" xr3:uid="{1710FFC1-7A4E-410D-97BB-5D0472F984AD}" name="SUB TOTAL" totalsRowFunction="sum" dataDxfId="275" totalsRowDxfId="276">
      <calculatedColumnFormula>ISAIAS!K8</calculatedColumnFormula>
    </tableColumn>
  </tableColumns>
  <tableStyleInfo name="TableStyleMedium1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C3F48B9-E889-4A60-A6A6-43A89C6C3DC6}" name="Tabla332101315495153" displayName="Tabla332101315495153" ref="F66:I69" totalsRowShown="0" dataDxfId="274">
  <autoFilter ref="F66:I69" xr:uid="{9C3F48B9-E889-4A60-A6A6-43A89C6C3DC6}"/>
  <tableColumns count="4">
    <tableColumn id="1" xr3:uid="{117A6383-13D3-42DC-9930-0383B5154D4F}" name="FECHA" dataDxfId="273">
      <calculatedColumnFormula>ISAIAS!H17</calculatedColumnFormula>
    </tableColumn>
    <tableColumn id="2" xr3:uid="{F1D1F47F-E037-4037-BB7C-EF4F31DEBCAD}" name="CONCEPTO" dataDxfId="272"/>
    <tableColumn id="3" xr3:uid="{AF2118E1-1805-48AA-AA94-E6199B4E7401}" name="CANTIDAD" dataDxfId="271">
      <calculatedColumnFormula>ISAIAS!J17</calculatedColumnFormula>
    </tableColumn>
    <tableColumn id="4" xr3:uid="{32ACE81F-4A3E-46B0-BF70-64F5C1FCE4D9}" name="TOTAL" dataDxfId="270">
      <calculatedColumnFormula>ISAIAS!K17</calculatedColumnFormula>
    </tableColumn>
  </tableColumns>
  <tableStyleInfo name="TableStyleMedium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A3F646-77B8-433E-A69F-ECDD532194C6}" name="Tabla2314111448505254" displayName="Tabla2314111448505254" ref="K59:N66" totalsRowCount="1">
  <autoFilter ref="K59:N65" xr:uid="{36A3F646-77B8-433E-A69F-ECDD532194C6}"/>
  <tableColumns count="4">
    <tableColumn id="1" xr3:uid="{827C8A7A-0666-4A0F-83BE-1717D21E5F64}" name="CONCEPTO" totalsRowLabel="Total" dataDxfId="268" totalsRowDxfId="269"/>
    <tableColumn id="2" xr3:uid="{E55A284F-820B-406B-8E2D-32969E9AF570}" name="VALOR" dataDxfId="266" totalsRowDxfId="267">
      <calculatedColumnFormula>WALTER!#REF!</calculatedColumnFormula>
    </tableColumn>
    <tableColumn id="3" xr3:uid="{DCAE31E6-2228-41B0-970C-C3FBEBFDEA24}" name="CANTIDAD" dataDxfId="264" totalsRowDxfId="265">
      <calculatedColumnFormula>DANIEL!J9</calculatedColumnFormula>
    </tableColumn>
    <tableColumn id="4" xr3:uid="{B6EC6462-EC62-448F-9CC4-0E5103FA38CA}" name="SUB TOTAL" totalsRowFunction="sum" dataDxfId="262" totalsRowDxfId="263">
      <calculatedColumnFormula>DANIEL!K9</calculatedColumnFormula>
    </tableColumn>
  </tableColumns>
  <tableStyleInfo name="TableStyleMedium1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DB50EAB-E69A-4754-A336-A0E2A787E7F7}" name="Tabla33210131549515355" displayName="Tabla33210131549515355" ref="K68:N71" totalsRowShown="0" dataDxfId="261">
  <autoFilter ref="K68:N71" xr:uid="{6DB50EAB-E69A-4754-A336-A0E2A787E7F7}"/>
  <tableColumns count="4">
    <tableColumn id="1" xr3:uid="{4D9F923C-7AD5-4C1C-95DB-8E2ED21DD910}" name="FECHA" dataDxfId="260">
      <calculatedColumnFormula>DANIEL!H18</calculatedColumnFormula>
    </tableColumn>
    <tableColumn id="2" xr3:uid="{7E93E967-2412-434C-88E7-993E59679F43}" name="CONCEPTO" dataDxfId="259"/>
    <tableColumn id="3" xr3:uid="{7B5DD026-E8DB-4839-A7D3-8CC3842A1863}" name="CANTIDAD" dataDxfId="258">
      <calculatedColumnFormula>DANIEL!J18</calculatedColumnFormula>
    </tableColumn>
    <tableColumn id="4" xr3:uid="{B581FD30-5592-4484-8AD2-A8695B7498B8}" name="TOTAL" dataDxfId="257">
      <calculatedColumnFormula>DANIEL!K18</calculatedColumnFormula>
    </tableColumn>
  </tableColumns>
  <tableStyleInfo name="TableStyleMedium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4F72400-643E-4710-9CCB-F003A92D1411}" name="Tabla2314111448505624" displayName="Tabla2314111448505624" ref="F31:I36" totalsRowCount="1">
  <autoFilter ref="F31:I35" xr:uid="{54F72400-643E-4710-9CCB-F003A92D1411}"/>
  <tableColumns count="4">
    <tableColumn id="1" xr3:uid="{1DBD04DB-6C2C-4688-8AC7-25766857F4A4}" name="CONCEPTO" totalsRowLabel="Total" dataDxfId="255" totalsRowDxfId="256">
      <calculatedColumnFormula>'JOSE '!H9</calculatedColumnFormula>
    </tableColumn>
    <tableColumn id="2" xr3:uid="{3F434F9D-8265-4A4E-8546-7729F024EC76}" name="VALOR" dataDxfId="253" totalsRowDxfId="254">
      <calculatedColumnFormula>WALTER!#REF!</calculatedColumnFormula>
    </tableColumn>
    <tableColumn id="3" xr3:uid="{A3EEA35A-2CEE-4F55-BD4E-6439A1C47EFA}" name="CANTIDAD" dataDxfId="251" totalsRowDxfId="252">
      <calculatedColumnFormula>KEVIN!#REF!</calculatedColumnFormula>
    </tableColumn>
    <tableColumn id="4" xr3:uid="{AF834BF0-321A-4354-8DE0-65E24D1CCF23}" name="SUB TOTAL" totalsRowFunction="custom" dataDxfId="249" totalsRowDxfId="250">
      <calculatedColumnFormula>KEVIN!#REF!</calculatedColumnFormula>
      <totalsRowFormula>Tabla231411141618231159[[#Totals],[SUB TOTAL]]</totalsRowFormula>
    </tableColumn>
  </tableColumns>
  <tableStyleInfo name="TableStyleMedium1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22D95C6-A180-4BEE-B7A7-7EED148BEE93}" name="Tabla33210131549515727" displayName="Tabla33210131549515727" ref="F38:I41" totalsRowShown="0" dataDxfId="248">
  <autoFilter ref="F38:I41" xr:uid="{B22D95C6-A180-4BEE-B7A7-7EED148BEE93}"/>
  <tableColumns count="4">
    <tableColumn id="1" xr3:uid="{1858A762-79FB-4AD7-9E3F-0A56A621AE83}" name="FECHA" dataDxfId="247">
      <calculatedColumnFormula>'JOSE '!H17</calculatedColumnFormula>
    </tableColumn>
    <tableColumn id="2" xr3:uid="{93C82E28-6523-49F0-8769-086E2E7AF590}" name="CONCEPTO" dataDxfId="246"/>
    <tableColumn id="3" xr3:uid="{07AA50E2-CDA3-4C67-A8F2-63444D30C0A6}" name="CANTIDAD" dataDxfId="245">
      <calculatedColumnFormula>KEVIN!#REF!</calculatedColumnFormula>
    </tableColumn>
    <tableColumn id="4" xr3:uid="{90B1F995-30CC-4E0E-919B-5F03363C88C6}" name="TOTAL" dataDxfId="244">
      <calculatedColumnFormula>'JOSE '!K17</calculatedColumnFormula>
    </tableColumn>
  </tableColumns>
  <tableStyleInfo name="TableStyleMedium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5E38392-3B66-4A02-B94C-519A049F6A49}" name="Tabla23141114485056365936" displayName="Tabla23141114485056365936" ref="F76:I82" totalsRowCount="1">
  <autoFilter ref="F76:I81" xr:uid="{65E38392-3B66-4A02-B94C-519A049F6A49}"/>
  <tableColumns count="4">
    <tableColumn id="1" xr3:uid="{4765993F-128E-4957-AA42-11FEF5F91676}" name="CONCEPTO" totalsRowLabel="Total" dataDxfId="242" totalsRowDxfId="243"/>
    <tableColumn id="2" xr3:uid="{2E0F6902-0B70-46DC-ABEF-B59C6ECEF54D}" name="VALOR" dataDxfId="240" totalsRowDxfId="241"/>
    <tableColumn id="3" xr3:uid="{945F703D-FAF9-406F-A97A-060F2E64D1F7}" name="CANTIDAD" dataDxfId="238" totalsRowDxfId="239">
      <calculatedColumnFormula>'ALAN '!J9</calculatedColumnFormula>
    </tableColumn>
    <tableColumn id="4" xr3:uid="{8578E3BF-C154-456C-9F8C-8E1F939CE8D2}" name="SUB TOTAL" totalsRowFunction="custom" dataDxfId="236" totalsRowDxfId="237">
      <calculatedColumnFormula>'ALAN '!K9</calculatedColumnFormula>
      <totalsRowFormula>Tabla2314111416182368[[#Totals],[SUB TOTAL]]</totalsRowFormula>
    </tableColumn>
  </tableColumns>
  <tableStyleInfo name="TableStyleMedium1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6AB3F75-F044-4346-8AB2-7CE1E1144B52}" name="Tabla332101315495157586058" displayName="Tabla332101315495157586058" ref="F84:I87" totalsRowShown="0" dataDxfId="235">
  <autoFilter ref="F84:I87" xr:uid="{56AB3F75-F044-4346-8AB2-7CE1E1144B52}"/>
  <tableColumns count="4">
    <tableColumn id="1" xr3:uid="{8CFE12EB-8887-4376-99EE-EF4D9398C3F7}" name="FECHA" dataDxfId="234">
      <calculatedColumnFormula>EZEQUIEL!H17</calculatedColumnFormula>
    </tableColumn>
    <tableColumn id="2" xr3:uid="{83BB6414-CA7A-4D19-A9EB-1724E63AD28A}" name="CONCEPTO" dataDxfId="233"/>
    <tableColumn id="3" xr3:uid="{12E19CAF-766D-4447-8D99-008FB8DD0408}" name="CANTIDAD" dataDxfId="232">
      <calculatedColumnFormula>EZEQUIEL!J17</calculatedColumnFormula>
    </tableColumn>
    <tableColumn id="4" xr3:uid="{CFB3FCCF-7491-4B52-91C5-9E6464B6F049}" name="TOTAL" dataDxfId="231">
      <calculatedColumnFormula>Tabla23141114485056365936[[#Totals],[SUB TOTAL]]-Tabla332101315495157586058[[#This Row],[CANTIDAD]]</calculatedColumnFormula>
    </tableColumn>
  </tableColumns>
  <tableStyleInfo name="TableStyleMedium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14387B5-0BED-45E5-A5E0-7FB98A31BA7E}" name="Tabla23141114485056365946" displayName="Tabla23141114485056365946" ref="A31:D37" totalsRowCount="1">
  <autoFilter ref="A31:D36" xr:uid="{114387B5-0BED-45E5-A5E0-7FB98A31BA7E}"/>
  <tableColumns count="4">
    <tableColumn id="1" xr3:uid="{2A7E4738-506F-490A-913E-E332752F7790}" name="CONCEPTO" totalsRowLabel="Total" dataDxfId="229" totalsRowDxfId="230"/>
    <tableColumn id="2" xr3:uid="{A184F662-216E-48EB-A16A-6FDBB744D8E4}" name="VALOR" dataDxfId="227" totalsRowDxfId="228"/>
    <tableColumn id="3" xr3:uid="{D99496FE-D285-483F-948B-9964886FF164}" name="CANTIDAD" dataDxfId="225" totalsRowDxfId="226">
      <calculatedColumnFormula>EZEQUIEL!J9</calculatedColumnFormula>
    </tableColumn>
    <tableColumn id="4" xr3:uid="{A2D5D3DD-E057-4AA4-992E-4AF0713A4BB4}" name="SUB TOTAL" totalsRowFunction="custom" dataDxfId="223" totalsRowDxfId="224">
      <calculatedColumnFormula>EZEQUIEL!K9</calculatedColumnFormula>
      <totalsRowFormula>Tabla23141114161823[[#Totals],[SUB TOTAL]]</totalsRowFormula>
    </tableColumn>
  </tableColumns>
  <tableStyleInfo name="TableStyleMedium1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1236357-6BDE-4790-8698-DCC543A64622}" name="Tabla332101315495157586047" displayName="Tabla332101315495157586047" ref="A39:D42" totalsRowShown="0" dataDxfId="222">
  <autoFilter ref="A39:D42" xr:uid="{A1236357-6BDE-4790-8698-DCC543A64622}"/>
  <tableColumns count="4">
    <tableColumn id="1" xr3:uid="{D994B8BE-BB5C-46F8-A654-4C56B975866D}" name="FECHA" dataDxfId="221">
      <calculatedColumnFormula>EZEQUIEL!#REF!</calculatedColumnFormula>
    </tableColumn>
    <tableColumn id="2" xr3:uid="{79B5859A-F872-41C4-BE92-A8524C763BEB}" name="CONCEPTO" dataDxfId="220"/>
    <tableColumn id="3" xr3:uid="{8CA001F8-DAA9-40AC-A374-A338D4890518}" name="CANTIDAD" dataDxfId="219">
      <calculatedColumnFormula>EZEQUIEL!J17</calculatedColumnFormula>
    </tableColumn>
    <tableColumn id="4" xr3:uid="{A1D3E12E-C862-49EA-81E5-37CAC9535F33}" name="TOTAL" dataDxfId="218">
      <calculatedColumnFormula>EZEQUIEL!K17</calculatedColumnFormula>
    </tableColumn>
  </tableColumns>
  <tableStyleInfo name="TableStyleMedium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1BC25A-5B53-4095-B761-2A6D60FEEEBC}" name="Tabla231411141618231118" displayName="Tabla231411141618231118" ref="A76:D82" totalsRowCount="1">
  <autoFilter ref="A76:D81" xr:uid="{2A1BC25A-5B53-4095-B761-2A6D60FEEEBC}"/>
  <tableColumns count="4">
    <tableColumn id="1" xr3:uid="{2458F42E-C92D-4BB3-B1BA-46CD3DEB1597}" name="CONCEPTO" totalsRowLabel="Total"/>
    <tableColumn id="2" xr3:uid="{05FEC61D-9234-4EED-86B1-29FF9C5D783B}" name="VALOR"/>
    <tableColumn id="3" xr3:uid="{134558BA-E3C9-4F4D-B568-ED807311B6AD}" name="CANTIDAD" totalsRowDxfId="217"/>
    <tableColumn id="4" xr3:uid="{76B022A4-5B6B-47B1-97A2-6A5056EA9D86}" name="SUB TOTAL" totalsRowFunction="sum" totalsRowDxfId="216">
      <calculatedColumnFormula>Tabla231411141618231118[[#This Row],[VALOR]]*Tabla231411141618231118[[#This Row],[CANTIDAD]]</calculatedColumnFormula>
    </tableColumn>
  </tableColumns>
  <tableStyleInfo name="TableStyleMedium1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484289-4582-40C4-857E-5D8D74C40462}" name="Tabla3321013151719251319" displayName="Tabla3321013151719251319" ref="A84:D87" totalsRowShown="0">
  <autoFilter ref="A84:D87" xr:uid="{D2484289-4582-40C4-857E-5D8D74C40462}"/>
  <tableColumns count="4">
    <tableColumn id="1" xr3:uid="{7389426B-9F20-4B67-86D6-03DE822756DB}" name="FECHA" dataDxfId="215"/>
    <tableColumn id="2" xr3:uid="{0191F6EA-BA92-4A47-ABC6-539DFDD42B7D}" name="CONCEPTO"/>
    <tableColumn id="3" xr3:uid="{4F056A7E-2A22-4993-B02E-07C1D8B11E44}" name="CANTIDAD"/>
    <tableColumn id="4" xr3:uid="{E617A6DC-93E7-4B57-8D4D-E58E3D7221F8}" name="TOTAL">
      <calculatedColumnFormula>$K$14-C85</calculatedColumnFormula>
    </tableColumn>
  </tableColumns>
  <tableStyleInfo name="TableStyleMedium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113C60C-2967-436C-A6C6-BF3910CFD2B2}" name="Tabla231411141672" displayName="Tabla231411141672" ref="K76:N82" totalsRowCount="1">
  <autoFilter ref="K76:N81" xr:uid="{0113C60C-2967-436C-A6C6-BF3910CFD2B2}"/>
  <tableColumns count="4">
    <tableColumn id="1" xr3:uid="{A60741CC-E2BD-4B1C-B80F-32B49C5C75D2}" name="CONCEPTO" totalsRowLabel="Total"/>
    <tableColumn id="2" xr3:uid="{E65EB2B0-DE79-4D3F-B1B0-3EB8880FED27}" name="VALOR"/>
    <tableColumn id="3" xr3:uid="{7BADD389-04A1-4480-B04B-70BCC9EDAE66}" name="CANTIDAD" totalsRowDxfId="214"/>
    <tableColumn id="4" xr3:uid="{EB22D1AE-35F8-430C-8E17-CF01030852B5}" name="SUB TOTAL" totalsRowFunction="sum" totalsRowDxfId="213">
      <calculatedColumnFormula>Tabla231411141672[[#This Row],[VALOR]]*Tabla231411141672[[#This Row],[CANTIDAD]]</calculatedColumnFormula>
    </tableColumn>
  </tableColumns>
  <tableStyleInfo name="TableStyleMedium1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EB01827-1909-4579-8C10-6EE67FD63D51}" name="Tabla3321013151777" displayName="Tabla3321013151777" ref="K84:N87" totalsRowShown="0">
  <autoFilter ref="K84:N87" xr:uid="{1EB01827-1909-4579-8C10-6EE67FD63D51}"/>
  <tableColumns count="4">
    <tableColumn id="1" xr3:uid="{A150FC41-640D-43D4-B634-3F5E21403899}" name="FECHA" dataDxfId="212"/>
    <tableColumn id="2" xr3:uid="{D73948DD-113E-4B11-A749-7B87FA984C72}" name="CONCEPTO"/>
    <tableColumn id="3" xr3:uid="{0CFDAEE5-95CB-437A-BD40-FD3CC7FACBEB}" name="CANTIDAD"/>
    <tableColumn id="4" xr3:uid="{9DB21E47-81E0-4EC8-BD77-D238657FF33F}" name="TOTAL" dataDxfId="211">
      <calculatedColumnFormula>N82-M85</calculatedColumnFormula>
    </tableColumn>
  </tableColumns>
  <tableStyleInfo name="TableStyleMedium16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951E77D-2169-4FEB-B548-811D489D00E1}" name="Tabla2314111416182356444695" displayName="Tabla2314111416182356444695" ref="A4:D7" totalsRowCount="1">
  <autoFilter ref="A4:D6" xr:uid="{D951E77D-2169-4FEB-B548-811D489D00E1}"/>
  <tableColumns count="4">
    <tableColumn id="1" xr3:uid="{73D95E16-2C80-4253-BA4E-ADA4988D22C5}" name="CONCEPTO" dataDxfId="209" totalsRowDxfId="210"/>
    <tableColumn id="2" xr3:uid="{02F93193-ABB3-4367-A834-7A5466EE2301}" name="VALOR" dataDxfId="207" totalsRowDxfId="208"/>
    <tableColumn id="3" xr3:uid="{E8D2D1FE-F696-4870-A921-D23D797EC99F}" name="CANTIDAD" totalsRowLabel=" TOTAL " dataDxfId="205" totalsRowDxfId="206"/>
    <tableColumn id="4" xr3:uid="{27F6642C-4A77-47A4-99A2-B5F6F0C18E60}" name="SUB TOTAL" totalsRowFunction="custom" dataDxfId="203" totalsRowDxfId="204">
      <calculatedColumnFormula>Tabla2314111416182356444695[[#This Row],[VALOR]]*Tabla2314111416182356444695[[#This Row],[CANTIDAD]]</calculatedColumnFormula>
      <totalsRowFormula>D5+D6</totalsRowFormula>
    </tableColumn>
  </tableColumns>
  <tableStyleInfo name="TableStyleMedium1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F61028A-3CA4-467B-A070-FC7CBF14BDFA}" name="Tabla33210131517192557454796" displayName="Tabla33210131517192557454796" ref="A9:D12" totalsRowShown="0" dataDxfId="202">
  <autoFilter ref="A9:D12" xr:uid="{9F61028A-3CA4-467B-A070-FC7CBF14BDFA}"/>
  <tableColumns count="4">
    <tableColumn id="1" xr3:uid="{0A30CB2E-1069-4A7C-AC66-C35B8134A026}" name="FECHA" dataDxfId="201"/>
    <tableColumn id="2" xr3:uid="{74945566-3698-4EC2-A738-7CDF55581D54}" name="CONCEPTO" dataDxfId="200"/>
    <tableColumn id="3" xr3:uid="{36E399AB-CF6B-437B-868B-44804B49900B}" name="CANTIDAD" dataDxfId="199"/>
    <tableColumn id="4" xr3:uid="{3808BFBC-4842-45FE-9960-04BF344D011C}" name="TOTAL" dataDxfId="198">
      <calculatedColumnFormula>Tabla2314111416182356444695[[#Totals],[SUB TOTAL]]-Tabla33210131517192557454796[[#This Row],[CANTIDAD]]</calculatedColumnFormula>
    </tableColumn>
  </tableColumns>
  <tableStyleInfo name="TableStyleMedium16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2D647B92-63BF-4FDD-A6E7-92658779A63D}" name="Tabla231411141618235644469575" displayName="Tabla231411141618235644469575" ref="F4:I7" totalsRowCount="1">
  <autoFilter ref="F4:I6" xr:uid="{2D647B92-63BF-4FDD-A6E7-92658779A63D}"/>
  <tableColumns count="4">
    <tableColumn id="1" xr3:uid="{D0728E6F-3234-4E65-BAF7-82A129EE50EA}" name="CONCEPTO" dataDxfId="196" totalsRowDxfId="197"/>
    <tableColumn id="2" xr3:uid="{64687764-7537-42C2-95A8-80F3474BA4C5}" name="VALOR" dataDxfId="194" totalsRowDxfId="195"/>
    <tableColumn id="3" xr3:uid="{0E595FC0-92D9-49AA-8CD4-0ABD161AEDC6}" name="CANTIDAD" totalsRowLabel=" TOTAL " dataDxfId="192" totalsRowDxfId="193"/>
    <tableColumn id="4" xr3:uid="{FE9F9ED3-B92F-479A-8AEB-41E393AD8A02}" name="SUB TOTAL" totalsRowFunction="custom" dataDxfId="190" totalsRowDxfId="191">
      <calculatedColumnFormula>Tabla231411141618235644469575[[#This Row],[VALOR]]*Tabla231411141618235644469575[[#This Row],[CANTIDAD]]</calculatedColumnFormula>
      <totalsRowFormula>I5+I6</totalsRowFormula>
    </tableColumn>
  </tableColumns>
  <tableStyleInfo name="TableStyleMedium1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A3CDB16F-3D10-47C7-8E50-1DD9D8803523}" name="Tabla3321013151719255745479676" displayName="Tabla3321013151719255745479676" ref="F9:I12" totalsRowShown="0" dataDxfId="189">
  <autoFilter ref="F9:I12" xr:uid="{A3CDB16F-3D10-47C7-8E50-1DD9D8803523}"/>
  <tableColumns count="4">
    <tableColumn id="1" xr3:uid="{03385BDD-862F-4B46-B53F-E36903EE685C}" name="FECHA" dataDxfId="188"/>
    <tableColumn id="2" xr3:uid="{8AD1227C-8B49-4E59-8B3E-E0B70AA95AB9}" name="CONCEPTO" dataDxfId="187"/>
    <tableColumn id="3" xr3:uid="{0C5E1297-C32C-47C9-9932-07D856F29936}" name="CANTIDAD" dataDxfId="186"/>
    <tableColumn id="4" xr3:uid="{5979E0D2-E36A-4E34-9D42-89B62A86D199}" name="TOTAL" dataDxfId="185">
      <calculatedColumnFormula>Tabla231411141618235644469575[[#Totals],[SUB TOTAL]]-Tabla3321013151719255745479676[[#This Row],[CANTIDAD]]</calculatedColumnFormula>
    </tableColumn>
  </tableColumns>
  <tableStyleInfo name="TableStyleMedium16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770A7A7-E275-4D8B-BAF4-D1BB44F59883}" name="Tabla2314111416182356444695102" displayName="Tabla2314111416182356444695102" ref="A17:D20" totalsRowCount="1">
  <autoFilter ref="A17:D19" xr:uid="{0770A7A7-E275-4D8B-BAF4-D1BB44F59883}"/>
  <tableColumns count="4">
    <tableColumn id="1" xr3:uid="{0E669E11-0208-40DA-8C73-4EB226B877D5}" name="CONCEPTO" dataDxfId="183" totalsRowDxfId="184"/>
    <tableColumn id="2" xr3:uid="{12BF3074-1A09-4B6A-837E-87EEF876A07D}" name="VALOR" dataDxfId="181" totalsRowDxfId="182"/>
    <tableColumn id="3" xr3:uid="{95E8EBAC-895C-4D4A-9F00-0882979BCFD2}" name="CANTIDAD" totalsRowLabel="  TOTAL  " dataDxfId="179" totalsRowDxfId="180"/>
    <tableColumn id="4" xr3:uid="{850D8301-1E13-4B3A-8F8A-346BB01D02AA}" name="SUB TOTAL" totalsRowFunction="custom" dataDxfId="177" totalsRowDxfId="178">
      <calculatedColumnFormula>Tabla2314111416182356444695102[[#This Row],[VALOR]]*Tabla2314111416182356444695102[[#This Row],[CANTIDAD]]</calculatedColumnFormula>
      <totalsRowFormula>D18+D19</totalsRowFormula>
    </tableColumn>
  </tableColumns>
  <tableStyleInfo name="TableStyleMedium1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A74E95BB-2983-4682-BA60-194832562FE0}" name="Tabla33210131517192557454796103" displayName="Tabla33210131517192557454796103" ref="A22:D25" totalsRowShown="0" dataDxfId="176">
  <autoFilter ref="A22:D25" xr:uid="{A74E95BB-2983-4682-BA60-194832562FE0}"/>
  <tableColumns count="4">
    <tableColumn id="1" xr3:uid="{6A5AD404-C464-4F2E-8F72-0960954DF975}" name="FECHA" dataDxfId="175"/>
    <tableColumn id="2" xr3:uid="{A9263867-11E0-4EAD-B40F-8B902DB4A37C}" name="CONCEPTO" dataDxfId="174"/>
    <tableColumn id="3" xr3:uid="{AF56BD5D-4E73-4E7D-8B9C-B899FF722087}" name="CANTIDAD" dataDxfId="173"/>
    <tableColumn id="4" xr3:uid="{F20DCBF7-A07F-4B6E-9C5E-EBD002C29F69}" name="TOTAL" dataDxfId="172">
      <calculatedColumnFormula>Tabla2314111416182356444695[[#Totals],[SUB TOTAL]]-Tabla33210131517192557454796103[[#This Row],[CANTIDAD]]</calculatedColumnFormula>
    </tableColumn>
  </tableColumns>
  <tableStyleInfo name="TableStyleMedium16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E5C457D-A7B9-41AD-BF74-E47FB6E02A74}" name="Tabla231411141618235644469575104" displayName="Tabla231411141618235644469575104" ref="F17:I20" totalsRowCount="1">
  <autoFilter ref="F17:I19" xr:uid="{EE5C457D-A7B9-41AD-BF74-E47FB6E02A74}"/>
  <tableColumns count="4">
    <tableColumn id="1" xr3:uid="{5DFA509A-56FA-4342-86AF-7458E9B41085}" name="CONCEPTO" dataDxfId="170" totalsRowDxfId="171"/>
    <tableColumn id="2" xr3:uid="{F6D91F11-E2E4-4194-B293-A67B7A4A4447}" name="VALOR" dataDxfId="168" totalsRowDxfId="169"/>
    <tableColumn id="3" xr3:uid="{54EABCB3-7FA5-4A2C-B892-86EC9B32767C}" name="CANTIDAD" totalsRowLabel=" TOTAL " dataDxfId="166" totalsRowDxfId="167"/>
    <tableColumn id="4" xr3:uid="{07140532-37C1-4F48-8B09-15EA415EA679}" name="SUB TOTAL" totalsRowFunction="custom" dataDxfId="164" totalsRowDxfId="165">
      <calculatedColumnFormula>Tabla231411141618235644469575104[[#This Row],[VALOR]]*Tabla231411141618235644469575104[[#This Row],[CANTIDAD]]</calculatedColumnFormula>
      <totalsRowFormula>I18+I19</totalsRowFormula>
    </tableColumn>
  </tableColumns>
  <tableStyleInfo name="TableStyleMedium1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8155EE2-A098-4AF0-A1F6-1E8D5983EEBA}" name="Tabla3321013151719255745479676105" displayName="Tabla3321013151719255745479676105" ref="F22:I25" totalsRowShown="0" dataDxfId="163">
  <autoFilter ref="F22:I25" xr:uid="{48155EE2-A098-4AF0-A1F6-1E8D5983EEBA}"/>
  <tableColumns count="4">
    <tableColumn id="1" xr3:uid="{9CD1F5DD-216A-4F51-AF5B-91A5B845A0AD}" name="FECHA" dataDxfId="162"/>
    <tableColumn id="2" xr3:uid="{9344B04F-0061-4915-A99D-78739C8BF8F5}" name="CONCEPTO" dataDxfId="161"/>
    <tableColumn id="3" xr3:uid="{FFAC780C-DB38-4547-B388-71B70A7E1162}" name="CANTIDAD" dataDxfId="160"/>
    <tableColumn id="4" xr3:uid="{D9DCC1ED-76FD-4BF1-9EC8-EEF425305851}" name="TOTAL" dataDxfId="159">
      <calculatedColumnFormula>Tabla231411141618235644469575[[#Totals],[SUB TOTAL]]-Tabla3321013151719255745479676105[[#This Row],[CANTIDAD]]</calculatedColumnFormula>
    </tableColumn>
  </tableColumns>
  <tableStyleInfo name="TableStyleMedium16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6111303-01C5-4F05-ADC5-E0D884956235}" name="Tabla231411141618235644469510279" displayName="Tabla231411141618235644469510279" ref="A30:D33" totalsRowCount="1">
  <autoFilter ref="A30:D32" xr:uid="{D6111303-01C5-4F05-ADC5-E0D884956235}"/>
  <tableColumns count="4">
    <tableColumn id="1" xr3:uid="{C3D47708-110B-46F5-8B9E-AD8FE5555B07}" name="CONCEPTO" dataDxfId="157" totalsRowDxfId="158"/>
    <tableColumn id="2" xr3:uid="{ACD8F2BF-8BD3-4EAC-9DE1-B69DDB663C7E}" name="VALOR" dataDxfId="155" totalsRowDxfId="156"/>
    <tableColumn id="3" xr3:uid="{5A994D31-F0CE-4898-8A61-CFC6ABAEC193}" name="CANTIDAD" totalsRowLabel=" TOTAL " dataDxfId="153" totalsRowDxfId="154"/>
    <tableColumn id="4" xr3:uid="{9AB64036-C3A0-44C9-BFA6-B3DA3F068795}" name="SUB TOTAL" totalsRowFunction="custom" dataDxfId="151" totalsRowDxfId="152">
      <calculatedColumnFormula>Tabla231411141618235644469510279[[#This Row],[VALOR]]*Tabla231411141618235644469510279[[#This Row],[CANTIDAD]]</calculatedColumnFormula>
      <totalsRowFormula>D31+D32</totalsRowFormula>
    </tableColumn>
  </tableColumns>
  <tableStyleInfo name="TableStyleMedium1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4031FE3-9B14-4F04-B343-5E717CD658D3}" name="Tabla3321013151719255745479610380" displayName="Tabla3321013151719255745479610380" ref="A35:D38" totalsRowShown="0" dataDxfId="150">
  <autoFilter ref="A35:D38" xr:uid="{C4031FE3-9B14-4F04-B343-5E717CD658D3}"/>
  <tableColumns count="4">
    <tableColumn id="1" xr3:uid="{15EE1FA7-70DF-4DE2-8EF9-AE4BD9DD4880}" name="FECHA" dataDxfId="149"/>
    <tableColumn id="2" xr3:uid="{E906BCEA-3AEA-4F29-A02B-52D88A21EA29}" name="CONCEPTO" dataDxfId="148"/>
    <tableColumn id="3" xr3:uid="{BB08FD2E-A215-44E2-97EA-2334B372FA7F}" name="CANTIDAD" dataDxfId="147"/>
    <tableColumn id="4" xr3:uid="{E309F491-5182-491B-A26A-B51AEBD96CEB}" name="TOTAL" dataDxfId="146">
      <calculatedColumnFormula>Tabla2314111416182356444695[[#Totals],[SUB TOTAL]]-Tabla3321013151719255745479610380[[#This Row],[CANTIDAD]]</calculatedColumnFormula>
    </tableColumn>
  </tableColumns>
  <tableStyleInfo name="TableStyleMedium16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F3A72565-BBBF-4923-8A8B-1DDD08B38330}" name="Tabla23141114161823564446957510481" displayName="Tabla23141114161823564446957510481" ref="F30:I33" totalsRowCount="1">
  <autoFilter ref="F30:I32" xr:uid="{F3A72565-BBBF-4923-8A8B-1DDD08B38330}"/>
  <tableColumns count="4">
    <tableColumn id="1" xr3:uid="{81102D68-F21A-4346-BA03-B7DF9FFA7DDF}" name="CONCEPTO" dataDxfId="144" totalsRowDxfId="145"/>
    <tableColumn id="2" xr3:uid="{459CB181-E6CD-40E4-8167-51BD88A10398}" name="VALOR" dataDxfId="142" totalsRowDxfId="143"/>
    <tableColumn id="3" xr3:uid="{F77E415F-129B-4089-8F01-817A91D1E4DD}" name="CANTIDAD" totalsRowLabel=" TOTAL " dataDxfId="140" totalsRowDxfId="141"/>
    <tableColumn id="4" xr3:uid="{4A003C98-E34C-44E9-B2BE-D422AB08EE14}" name="SUB TOTAL" totalsRowFunction="custom" dataDxfId="138" totalsRowDxfId="139">
      <calculatedColumnFormula>Tabla23141114161823564446957510481[[#This Row],[VALOR]]*Tabla23141114161823564446957510481[[#This Row],[CANTIDAD]]</calculatedColumnFormula>
      <totalsRowFormula>I31+I32</totalsRowFormula>
    </tableColumn>
  </tableColumns>
  <tableStyleInfo name="TableStyleMedium1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8057B70-658C-41AB-9616-C105167114A2}" name="Tabla332101315171925574547967610582" displayName="Tabla332101315171925574547967610582" ref="F35:I38" totalsRowShown="0" dataDxfId="137">
  <autoFilter ref="F35:I38" xr:uid="{48057B70-658C-41AB-9616-C105167114A2}"/>
  <tableColumns count="4">
    <tableColumn id="1" xr3:uid="{DC699AB7-E2E9-4B53-9029-7968528E3096}" name="FECHA" dataDxfId="136"/>
    <tableColumn id="2" xr3:uid="{C0930FA2-4AA7-49CE-B311-852E2ED92CB2}" name="CONCEPTO" dataDxfId="135"/>
    <tableColumn id="3" xr3:uid="{A52ED082-760C-40DC-AEBD-CD1FBB0E9ADD}" name="CANTIDAD" dataDxfId="134"/>
    <tableColumn id="4" xr3:uid="{ED7FD5BD-83BE-4CE8-82A7-0B4DF3DB9B21}" name="TOTAL" dataDxfId="133">
      <calculatedColumnFormula>Tabla231411141618235644469575[[#Totals],[SUB TOTAL]]-Tabla332101315171925574547967610582[[#This Row],[CANTIDAD]]</calculatedColumnFormula>
    </tableColumn>
  </tableColumns>
  <tableStyleInfo name="TableStyleMedium16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9C60AF7-4327-4A0B-8DC4-8A913AECA72A}" name="Tabla231411141618235644469510285" displayName="Tabla231411141618235644469510285" ref="A43:D46" totalsRowCount="1">
  <autoFilter ref="A43:D45" xr:uid="{49C60AF7-4327-4A0B-8DC4-8A913AECA72A}"/>
  <tableColumns count="4">
    <tableColumn id="1" xr3:uid="{50976663-2F59-4119-B7F2-3D9D005D9578}" name="CONCEPTO" dataDxfId="131" totalsRowDxfId="132"/>
    <tableColumn id="2" xr3:uid="{2EC5615E-EEEC-4824-ABB9-A40995A39EDE}" name="VALOR" dataDxfId="129" totalsRowDxfId="130"/>
    <tableColumn id="3" xr3:uid="{94918DFC-F447-48D5-86EC-6BD8A4FCDED6}" name="CANTIDAD" totalsRowLabel=" TOTAL " dataDxfId="127" totalsRowDxfId="128"/>
    <tableColumn id="4" xr3:uid="{DC372FB5-070D-4547-A527-8C623F6947D5}" name="SUB TOTAL" totalsRowFunction="custom" dataDxfId="125" totalsRowDxfId="126">
      <calculatedColumnFormula>Tabla231411141618235644469510285[[#This Row],[VALOR]]*Tabla231411141618235644469510285[[#This Row],[CANTIDAD]]</calculatedColumnFormula>
      <totalsRowFormula>D44+D45</totalsRowFormula>
    </tableColumn>
  </tableColumns>
  <tableStyleInfo name="TableStyleMedium1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913DF2E-61C4-4609-81A7-1F8E2FF92C45}" name="Tabla3321013151719255745479610386" displayName="Tabla3321013151719255745479610386" ref="A48:D51" totalsRowShown="0" dataDxfId="124">
  <autoFilter ref="A48:D51" xr:uid="{0913DF2E-61C4-4609-81A7-1F8E2FF92C45}"/>
  <tableColumns count="4">
    <tableColumn id="1" xr3:uid="{04172B62-CCF5-4272-BBFE-049AFDCCC4C4}" name="FECHA" dataDxfId="123"/>
    <tableColumn id="2" xr3:uid="{B5CC4E7C-32EE-4DB2-B4BA-6325B22347AE}" name="CONCEPTO" dataDxfId="122"/>
    <tableColumn id="3" xr3:uid="{6080B769-8BD4-4951-B288-ADDADD3EA376}" name="CANTIDAD" dataDxfId="121"/>
    <tableColumn id="4" xr3:uid="{C178FB35-4B25-4520-B51E-B4E4B73F2536}" name="TOTAL" dataDxfId="120">
      <calculatedColumnFormula>Tabla2314111416182356444695[[#Totals],[SUB TOTAL]]-Tabla3321013151719255745479610386[[#This Row],[CANTIDAD]]</calculatedColumnFormula>
    </tableColumn>
  </tableColumns>
  <tableStyleInfo name="TableStyleMedium16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21A6E79-7321-4AAD-B939-0BD2CBA1CAC5}" name="Tabla23141114161823564446957710656" displayName="Tabla23141114161823564446957710656" ref="A70:D73" totalsRowCount="1">
  <autoFilter ref="A70:D72" xr:uid="{321A6E79-7321-4AAD-B939-0BD2CBA1CAC5}"/>
  <tableColumns count="4">
    <tableColumn id="1" xr3:uid="{50124BA6-4C33-468B-A8A3-ED194494F27E}" name="CONCEPTO" dataDxfId="118" totalsRowDxfId="119"/>
    <tableColumn id="2" xr3:uid="{6D136734-EFDA-4373-9F56-7C6602005FAA}" name="VALOR" dataDxfId="116" totalsRowDxfId="117"/>
    <tableColumn id="3" xr3:uid="{5139C570-E8BC-4625-8408-5443EDCA8BA0}" name="CANTIDAD" totalsRowLabel=" TOTAL " dataDxfId="114" totalsRowDxfId="115"/>
    <tableColumn id="4" xr3:uid="{555EC50D-5F0B-47FE-8B79-B15C391D9803}" name="SUB TOTAL" totalsRowFunction="custom" dataDxfId="112" totalsRowDxfId="113">
      <calculatedColumnFormula>Tabla23141114161823564446957710656[[#This Row],[VALOR]]*Tabla23141114161823564446957710656[[#This Row],[CANTIDAD]]</calculatedColumnFormula>
      <totalsRowFormula>D71+D72</totalsRowFormula>
    </tableColumn>
  </tableColumns>
  <tableStyleInfo name="TableStyleMedium1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EEA43B2-F963-43BE-A28F-F7AC9B5ECAE3}" name="Tabla332101315171925574547967810757" displayName="Tabla332101315171925574547967810757" ref="A75:D78" totalsRowShown="0" dataDxfId="111">
  <autoFilter ref="A75:D78" xr:uid="{AEEA43B2-F963-43BE-A28F-F7AC9B5ECAE3}"/>
  <tableColumns count="4">
    <tableColumn id="1" xr3:uid="{A4837296-B07F-4F6D-B6AE-F9D1BB09D166}" name="FECHA" dataDxfId="110"/>
    <tableColumn id="2" xr3:uid="{43796FBD-C2A7-4C3D-876A-FDAABD73F48A}" name="CONCEPTO" dataDxfId="109"/>
    <tableColumn id="3" xr3:uid="{DB0C455D-7731-4A4E-B9CF-5CFF5740D291}" name="CANTIDAD" dataDxfId="108"/>
    <tableColumn id="4" xr3:uid="{06CFC691-DD44-41BA-A73C-AB097C7EF7C6}" name="TOTAL" dataDxfId="107"/>
  </tableColumns>
  <tableStyleInfo name="TableStyleMedium16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CDF065E-A416-4F8E-AF29-264FF01196D8}" name="Tabla231411141618235644469577106896163" displayName="Tabla231411141618235644469577106896163" ref="A56:D60" totalsRowCount="1">
  <autoFilter ref="A56:D59" xr:uid="{6CDF065E-A416-4F8E-AF29-264FF01196D8}"/>
  <tableColumns count="4">
    <tableColumn id="1" xr3:uid="{71E98687-3D30-43E3-BA82-8948AE1F3021}" name="CONCEPTO" dataDxfId="105" totalsRowDxfId="106"/>
    <tableColumn id="2" xr3:uid="{A4CA21A0-F825-41D3-BDAD-9AE7E4A23EE9}" name="VALOR" dataDxfId="103" totalsRowDxfId="104"/>
    <tableColumn id="3" xr3:uid="{7110F52E-2445-42E2-8718-61B125521D05}" name="CANTIDAD" totalsRowLabel=" TOTAL " dataDxfId="101" totalsRowDxfId="102"/>
    <tableColumn id="4" xr3:uid="{7DC4FC6A-A63C-4067-9EA1-DEEEDC98AFD3}" name="SUB TOTAL" totalsRowFunction="custom" dataDxfId="99" totalsRowDxfId="100">
      <calculatedColumnFormula>Tabla231411141618235644469577106896163[[#This Row],[VALOR]]*Tabla231411141618235644469577106896163[[#This Row],[CANTIDAD]]</calculatedColumnFormula>
      <totalsRowFormula>D57+D58+D59</totalsRowFormula>
    </tableColumn>
  </tableColumns>
  <tableStyleInfo name="TableStyleMedium1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719B52EF-D7A8-409B-8B1A-0262A6ABE010}" name="Tabla3321013151719255745479678107906264" displayName="Tabla3321013151719255745479678107906264" ref="A62:D65" totalsRowShown="0" dataDxfId="98">
  <autoFilter ref="A62:D65" xr:uid="{719B52EF-D7A8-409B-8B1A-0262A6ABE010}"/>
  <tableColumns count="4">
    <tableColumn id="1" xr3:uid="{C4BDB920-B8DE-428D-A39F-F8DC9779E9F4}" name="FECHA" dataDxfId="97"/>
    <tableColumn id="2" xr3:uid="{48FB2920-4B68-441D-9BAC-A273DF145BAA}" name="CONCEPTO" dataDxfId="96"/>
    <tableColumn id="3" xr3:uid="{1F53D5EB-45C7-47C2-8EFD-A45C406746C7}" name="CANTIDAD" dataDxfId="95"/>
    <tableColumn id="4" xr3:uid="{E635AEB5-074A-4D99-8D64-1D7A50AAAAA4}" name="TOTAL" dataDxfId="94"/>
  </tableColumns>
  <tableStyleInfo name="TableStyleMedium16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52F385F-B72B-47F4-9109-6443900FA89D}" name="Tabla23141114161823564446957765" displayName="Tabla23141114161823564446957765" ref="F70:I73" totalsRowCount="1">
  <autoFilter ref="F70:I72" xr:uid="{A52F385F-B72B-47F4-9109-6443900FA89D}"/>
  <tableColumns count="4">
    <tableColumn id="1" xr3:uid="{77B74B68-B88B-4C3A-8CE1-D5D6361DFB06}" name="CONCEPTO" dataDxfId="92" totalsRowDxfId="93"/>
    <tableColumn id="2" xr3:uid="{BA5EDB97-30B1-4A42-A35E-D2FB070D8058}" name="VALOR" dataDxfId="90" totalsRowDxfId="91"/>
    <tableColumn id="3" xr3:uid="{000F1C4D-AF85-4259-984B-4CC655183316}" name="CANTIDAD" totalsRowLabel=" TOTAL " dataDxfId="88" totalsRowDxfId="89"/>
    <tableColumn id="4" xr3:uid="{A38F8C77-F1FB-42CF-B216-87E05BD2FAF2}" name="SUB TOTAL" totalsRowFunction="custom" dataDxfId="86" totalsRowDxfId="87">
      <calculatedColumnFormula>Tabla23141114161823564446957765[[#This Row],[VALOR]]*Tabla23141114161823564446957765[[#This Row],[CANTIDAD]]</calculatedColumnFormula>
      <totalsRowFormula>I71+I72</totalsRowFormula>
    </tableColumn>
  </tableColumns>
  <tableStyleInfo name="TableStyleMedium1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74B0F186-1B32-4B64-BDDC-165E3F09D988}" name="Tabla2314111416182356444695751048773" displayName="Tabla2314111416182356444695751048773" ref="F56:I60" totalsRowCount="1">
  <autoFilter ref="F56:I59" xr:uid="{74B0F186-1B32-4B64-BDDC-165E3F09D988}"/>
  <tableColumns count="4">
    <tableColumn id="1" xr3:uid="{C0CEA0F3-E929-4AEC-869A-836866C2488D}" name="CONCEPTO" dataDxfId="84" totalsRowDxfId="85"/>
    <tableColumn id="2" xr3:uid="{3B34AD67-7F5E-476D-BB42-6EF53F11D904}" name="VALOR" dataDxfId="82" totalsRowDxfId="83"/>
    <tableColumn id="3" xr3:uid="{E4057BEF-4B30-4C26-9224-A53D1EC3614F}" name="CANTIDAD" totalsRowLabel=" TOTAL " dataDxfId="80" totalsRowDxfId="81"/>
    <tableColumn id="4" xr3:uid="{1A5C430E-3EF9-4C5B-A860-01D4B5AECEE2}" name="SUB TOTAL" totalsRowFunction="custom" dataDxfId="78" totalsRowDxfId="79">
      <calculatedColumnFormula>Tabla2314111416182356444695751048773[[#This Row],[VALOR]]*Tabla2314111416182356444695751048773[[#This Row],[CANTIDAD]]</calculatedColumnFormula>
      <totalsRowFormula>I57+I58+I59</totalsRowFormula>
    </tableColumn>
  </tableColumns>
  <tableStyleInfo name="TableStyleMedium1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4D06BD4-19AC-4DEE-89E7-C9B29E495B58}" name="Tabla33210131517192557454796761058874" displayName="Tabla33210131517192557454796761058874" ref="F62:I65" totalsRowShown="0" dataDxfId="77">
  <autoFilter ref="F62:I65" xr:uid="{44D06BD4-19AC-4DEE-89E7-C9B29E495B58}"/>
  <tableColumns count="4">
    <tableColumn id="1" xr3:uid="{AFF29F6C-97BD-4ECA-BDE3-65C0E08F8DBD}" name="FECHA" dataDxfId="76"/>
    <tableColumn id="2" xr3:uid="{BC7919BA-60B8-4570-91F2-1D68C6454CA3}" name="CONCEPTO" dataDxfId="75"/>
    <tableColumn id="3" xr3:uid="{73F3A04F-2314-409F-807E-3C41935C23F9}" name="CANTIDAD" dataDxfId="74"/>
    <tableColumn id="4" xr3:uid="{8126E7C4-CE75-44DC-AAA4-FE07324ED76A}" name="TOTAL" dataDxfId="73">
      <calculatedColumnFormula>Tabla231411141618235644469575[[#Totals],[SUB TOTAL]]-Tabla33210131517192557454796761058874[[#This Row],[CANTIDAD]]</calculatedColumnFormula>
    </tableColumn>
  </tableColumns>
  <tableStyleInfo name="TableStyleMedium16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D75AAB92-F1D4-4F20-8D90-869CFB4A116E}" name="Tabla23141114161823564446951028578" displayName="Tabla23141114161823564446951028578" ref="F43:I46" totalsRowCount="1">
  <autoFilter ref="F43:I45" xr:uid="{D75AAB92-F1D4-4F20-8D90-869CFB4A116E}"/>
  <tableColumns count="4">
    <tableColumn id="1" xr3:uid="{2684F969-24BF-47F0-984C-D9DCE0E98943}" name="CONCEPTO" dataDxfId="71" totalsRowDxfId="72"/>
    <tableColumn id="2" xr3:uid="{D2C05C88-F3CE-44B3-AD13-9937F97CAE68}" name="VALOR" dataDxfId="69" totalsRowDxfId="70"/>
    <tableColumn id="3" xr3:uid="{80E7B405-9CE4-4595-82B8-DC39EFEBF047}" name="CANTIDAD" totalsRowLabel=" TOTAL " dataDxfId="67" totalsRowDxfId="68"/>
    <tableColumn id="4" xr3:uid="{FAF9B043-F260-464E-A9B3-574A89A6263F}" name="SUB TOTAL" totalsRowFunction="custom" dataDxfId="65" totalsRowDxfId="66">
      <calculatedColumnFormula>Tabla23141114161823564446951028578[[#This Row],[VALOR]]*Tabla23141114161823564446951028578[[#This Row],[CANTIDAD]]</calculatedColumnFormula>
      <totalsRowFormula>I44+I45</totalsRowFormula>
    </tableColumn>
  </tableColumns>
  <tableStyleInfo name="TableStyleMedium1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EFE27E8-9E10-4E91-B6F0-3B488432A780}" name="Tabla332101315171925574547961038644" displayName="Tabla332101315171925574547961038644" ref="F48:I51" totalsRowShown="0" dataDxfId="64">
  <autoFilter ref="F48:I51" xr:uid="{CEFE27E8-9E10-4E91-B6F0-3B488432A780}"/>
  <tableColumns count="4">
    <tableColumn id="1" xr3:uid="{2EB17955-09A6-4B9B-86F6-18DA3CE7710A}" name="FECHA" dataDxfId="63"/>
    <tableColumn id="2" xr3:uid="{DB343E6C-24BC-4FB7-B837-F847A2030E01}" name="CONCEPTO" dataDxfId="62"/>
    <tableColumn id="3" xr3:uid="{DB91992B-773D-466E-B850-61CA682323DD}" name="CANTIDAD" dataDxfId="61"/>
    <tableColumn id="4" xr3:uid="{A32A6A57-C44E-48CD-ADBD-C28A609AE3A9}" name="TOTAL" dataDxfId="60">
      <calculatedColumnFormula>Tabla2314111416182356444695[[#Totals],[SUB TOTAL]]-Tabla332101315171925574547961038644[[#This Row],[CANTIDAD]]</calculatedColumnFormula>
    </tableColumn>
  </tableColumns>
  <tableStyleInfo name="TableStyleMedium16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11318DA-8C6E-4EAF-9A6C-B28BD5370BCB}" name="Tabla33210131517192557454796781075745" displayName="Tabla33210131517192557454796781075745" ref="F75:I78" totalsRowShown="0" dataDxfId="59">
  <autoFilter ref="F75:I78" xr:uid="{211318DA-8C6E-4EAF-9A6C-B28BD5370BCB}"/>
  <tableColumns count="4">
    <tableColumn id="1" xr3:uid="{6601C9E2-9C4E-4515-B1A0-1AF195A2F1E0}" name="FECHA" dataDxfId="58"/>
    <tableColumn id="2" xr3:uid="{6D3AA4E7-F8CE-4FC7-ADBD-AA77408BC55B}" name="CONCEPTO" dataDxfId="57"/>
    <tableColumn id="3" xr3:uid="{BAEB6616-B2C0-4ED3-AC85-E12E33DA4F2F}" name="CANTIDAD" dataDxfId="56"/>
    <tableColumn id="4" xr3:uid="{D6BBDF09-629C-4FA6-8D15-E75F54910593}" name="TOTAL" dataDxfId="55"/>
  </tableColumns>
  <tableStyleInfo name="TableStyleMedium16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1A3BCB9A-235B-44CE-AF95-5C67703447C7}" name="Tabla23141114161823564446951027991" displayName="Tabla23141114161823564446951027991" ref="A4:D8" totalsRowCount="1">
  <autoFilter ref="A4:D7" xr:uid="{1A3BCB9A-235B-44CE-AF95-5C67703447C7}"/>
  <tableColumns count="4">
    <tableColumn id="1" xr3:uid="{5DE79DC6-1C62-4BBC-B0C3-7CE47CAF5C53}" name="CONCEPTO" dataDxfId="53" totalsRowDxfId="54"/>
    <tableColumn id="2" xr3:uid="{F5131707-EE18-4EDC-BA64-BBFCFBADA83A}" name="VALOR" dataDxfId="51" totalsRowDxfId="52"/>
    <tableColumn id="3" xr3:uid="{C771792E-8F3F-478F-A954-231F846C36AC}" name="CANTIDAD" totalsRowLabel=" TOTAL " dataDxfId="49" totalsRowDxfId="50"/>
    <tableColumn id="4" xr3:uid="{A3AF701C-7D59-4424-851F-E61EA70A0C29}" name="SUB TOTAL" totalsRowFunction="custom" dataDxfId="47" totalsRowDxfId="48">
      <calculatedColumnFormula>Tabla23141114161823564446951027991[[#This Row],[VALOR]]*Tabla23141114161823564446951027991[[#This Row],[CANTIDAD]]</calculatedColumnFormula>
      <totalsRowFormula>D5+D6+D7</totalsRowFormula>
    </tableColumn>
  </tableColumns>
  <tableStyleInfo name="TableStyleMedium1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D65AD67-FAB6-4095-860C-ACEFE6DC102A}" name="Tabla332101315171925574547961038092" displayName="Tabla332101315171925574547961038092" ref="A10:D13" totalsRowShown="0" dataDxfId="46">
  <autoFilter ref="A10:D13" xr:uid="{0D65AD67-FAB6-4095-860C-ACEFE6DC102A}"/>
  <tableColumns count="4">
    <tableColumn id="1" xr3:uid="{0478A4E6-5061-4443-96BE-4AB88894F496}" name="FECHA" dataDxfId="45"/>
    <tableColumn id="2" xr3:uid="{68A47D90-4799-48EF-AF1E-2BC71A5EBE9A}" name="CONCEPTO" dataDxfId="44"/>
    <tableColumn id="3" xr3:uid="{E2CD9B8C-B733-4B1B-9682-B3E6C2C32F72}" name="CANTIDAD" dataDxfId="43"/>
    <tableColumn id="4" xr3:uid="{34A8AE71-ED3B-465E-8593-F75830117865}" name="TOTAL" dataDxfId="42">
      <calculatedColumnFormula>Tabla2314111416182356444695[[#Totals],[SUB TOTAL]]-Tabla332101315171925574547961038092[[#This Row],[CANTIDAD]]</calculatedColumnFormula>
    </tableColumn>
  </tableColumns>
  <tableStyleInfo name="TableStyleMedium16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11F74FC-5FC7-4CA9-98EE-D894A6763FA9}" name="Tabla2314111416182356444695751048193" displayName="Tabla2314111416182356444695751048193" ref="F4:I8" totalsRowCount="1">
  <autoFilter ref="F4:I7" xr:uid="{211F74FC-5FC7-4CA9-98EE-D894A6763FA9}"/>
  <tableColumns count="4">
    <tableColumn id="1" xr3:uid="{14C34A7A-B0D0-4538-A123-1A1779CFECE9}" name="CONCEPTO" dataDxfId="40" totalsRowDxfId="41"/>
    <tableColumn id="2" xr3:uid="{D8A6FD62-AF03-4224-8E7D-1A21863D5D1B}" name="VALOR" dataDxfId="38" totalsRowDxfId="39"/>
    <tableColumn id="3" xr3:uid="{A9F528C9-BF2B-4D76-8F0B-0A202EAACAB7}" name="CANTIDAD" totalsRowLabel=" TOTAL " dataDxfId="36" totalsRowDxfId="37"/>
    <tableColumn id="4" xr3:uid="{45A219C3-9B3F-4B60-BA53-47A324DBE4B2}" name="SUB TOTAL" totalsRowFunction="custom" dataDxfId="34" totalsRowDxfId="35">
      <calculatedColumnFormula>Tabla2314111416182356444695751048193[[#This Row],[VALOR]]*Tabla2314111416182356444695751048193[[#This Row],[CANTIDAD]]</calculatedColumnFormula>
      <totalsRowFormula>I5+I6+I7</totalsRowFormula>
    </tableColumn>
  </tableColumns>
  <tableStyleInfo name="TableStyleMedium1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AF1E1900-C08B-4E3B-A276-48373150BEC0}" name="Tabla33210131517192557454796761058294" displayName="Tabla33210131517192557454796761058294" ref="F10:I13" totalsRowShown="0" dataDxfId="33">
  <autoFilter ref="F10:I13" xr:uid="{AF1E1900-C08B-4E3B-A276-48373150BEC0}"/>
  <tableColumns count="4">
    <tableColumn id="1" xr3:uid="{E69234B0-718D-4CE2-912D-FDAB7939B937}" name="FECHA" dataDxfId="32"/>
    <tableColumn id="2" xr3:uid="{52E8307B-2B86-4E85-97E5-8DE71EC077A3}" name="CONCEPTO" dataDxfId="31"/>
    <tableColumn id="3" xr3:uid="{050E1E31-67F4-4244-B995-F037EC453C51}" name="CANTIDAD" dataDxfId="30"/>
    <tableColumn id="4" xr3:uid="{E22A739B-0D52-4B48-A495-5699FCE173C2}" name="TOTAL" dataDxfId="29">
      <calculatedColumnFormula>Tabla231411141618235644469575[[#Totals],[SUB TOTAL]]-Tabla33210131517192557454796761058294[[#This Row],[CANTIDAD]]</calculatedColumnFormula>
    </tableColumn>
  </tableColumns>
  <tableStyleInfo name="TableStyleMedium16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5A1A71D0-15E6-4E57-97A9-E1E71426C280}" name="Tabla231411141618235644469561" displayName="Tabla231411141618235644469561" ref="A4:D7" totalsRowCount="1">
  <autoFilter ref="A4:D6" xr:uid="{5A1A71D0-15E6-4E57-97A9-E1E71426C280}"/>
  <tableColumns count="4">
    <tableColumn id="1" xr3:uid="{22BD8FBA-C52B-450D-BE43-0F38E5FDA638}" name="CONCEPTO" dataDxfId="27" totalsRowDxfId="28"/>
    <tableColumn id="2" xr3:uid="{18B9C969-C64F-4CE7-B0FF-2E773EDC9A1F}" name="VALOR X DIA" dataDxfId="25" totalsRowDxfId="26"/>
    <tableColumn id="3" xr3:uid="{EA0F76A6-D278-4CBF-BCE5-F3076982559D}" name="CANTIDAD" totalsRowLabel=" TOTAL " dataDxfId="23" totalsRowDxfId="24"/>
    <tableColumn id="4" xr3:uid="{915D81CE-4A2A-4D69-942D-EAFBFC954F63}" name="SUB TOTAL" totalsRowFunction="custom" dataDxfId="21" totalsRowDxfId="22">
      <calculatedColumnFormula>Tabla231411141618235644469561[[#This Row],[VALOR X DIA]]*Tabla231411141618235644469561[[#This Row],[CANTIDAD]]</calculatedColumnFormula>
      <totalsRowFormula>D5+D6</totalsRowFormula>
    </tableColumn>
  </tableColumns>
  <tableStyleInfo name="TableStyleMedium1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BBEFD8D-641F-464B-94EA-5D92008D5119}" name="Tabla3321013151719255745479662" displayName="Tabla3321013151719255745479662" ref="A9:D13" totalsRowShown="0" dataDxfId="20">
  <autoFilter ref="A9:D13" xr:uid="{FBBEFD8D-641F-464B-94EA-5D92008D5119}"/>
  <tableColumns count="4">
    <tableColumn id="1" xr3:uid="{9CFE2FDC-3CE2-41C7-955D-ADE952C32650}" name="FECHA" dataDxfId="19"/>
    <tableColumn id="2" xr3:uid="{BCA24DDF-40A9-4436-8C60-CE20E3C49473}" name="CONCEPTO" dataDxfId="18"/>
    <tableColumn id="3" xr3:uid="{9F3BB78A-7025-40A9-9BC0-874158A68D7A}" name="CANTIDAD" dataDxfId="17"/>
    <tableColumn id="4" xr3:uid="{76EF5069-9AC8-4BAC-AA80-BB7B8494E532}" name="TOTAL" dataDxfId="16"/>
  </tableColumns>
  <tableStyleInfo name="TableStyleMedium16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8E81802-29B0-44C0-AFF2-FC70912B5742}" name="Tabla23141114161823564446956166" displayName="Tabla23141114161823564446956166" ref="A21:D24" totalsRowCount="1">
  <autoFilter ref="A21:D23" xr:uid="{18E81802-29B0-44C0-AFF2-FC70912B5742}"/>
  <tableColumns count="4">
    <tableColumn id="1" xr3:uid="{93EFACB2-4D88-4A91-B70F-CF79929F84EF}" name="CONCEPTO" dataDxfId="14" totalsRowDxfId="15"/>
    <tableColumn id="2" xr3:uid="{79E5669B-6DFF-40D0-A38B-A88532662ECA}" name="VALOR X DIA" dataDxfId="12" totalsRowDxfId="13"/>
    <tableColumn id="3" xr3:uid="{57EF8995-9BE8-4448-924C-3972297BA4C2}" name="CANTIDAD" totalsRowLabel=" TOTAL " dataDxfId="10" totalsRowDxfId="11"/>
    <tableColumn id="4" xr3:uid="{C8F05DE7-8D2C-495F-9BEA-0194834C5145}" name="SUB TOTAL" totalsRowFunction="custom" dataDxfId="8" totalsRowDxfId="9">
      <calculatedColumnFormula>Tabla23141114161823564446956166[[#This Row],[VALOR X DIA]]*Tabla23141114161823564446956166[[#This Row],[CANTIDAD]]</calculatedColumnFormula>
      <totalsRowFormula>D22+D23</totalsRowFormula>
    </tableColumn>
  </tableColumns>
  <tableStyleInfo name="TableStyleMedium1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FF343B5-F8C9-4416-A6D4-7ED9B2FAC13A}" name="Tabla332101315171925574547966267" displayName="Tabla332101315171925574547966267" ref="A26:D30" totalsRowShown="0" dataDxfId="7">
  <autoFilter ref="A26:D30" xr:uid="{3FF343B5-F8C9-4416-A6D4-7ED9B2FAC13A}"/>
  <tableColumns count="4">
    <tableColumn id="1" xr3:uid="{975F04A7-218B-4C8D-A388-836EF9AEE976}" name="FECHA" dataDxfId="6"/>
    <tableColumn id="2" xr3:uid="{11AFEC15-975E-456F-BD9B-AA27EC84842D}" name="CONCEPTO" dataDxfId="5"/>
    <tableColumn id="3" xr3:uid="{E5A12A37-5B1E-42B5-A2FD-C05834C699E7}" name="CANTIDAD" dataDxfId="4"/>
    <tableColumn id="4" xr3:uid="{3E5956A1-2861-4EB4-A806-9206000EB691}" name="TOTAL" dataDxfId="3">
      <calculatedColumnFormula>Tabla2314111416182356444695[[#Totals],[SUB TOTAL]]-Tabla332101315171925574547966267[[#This Row],[CANTIDAD]]</calculatedColumnFormula>
    </tableColumn>
  </tableColumns>
  <tableStyleInfo name="TableStyleMedium16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6ECF21A-71BA-4357-AD74-0EEC73CC9283}" name="Tabla23141114161823115997" displayName="Tabla23141114161823115997" ref="A7:D13" totalsRowCount="1">
  <autoFilter ref="A7:D12" xr:uid="{C6ECF21A-71BA-4357-AD74-0EEC73CC9283}"/>
  <tableColumns count="4">
    <tableColumn id="1" xr3:uid="{4CCFF9EE-15B4-4D1D-B124-16D0AE5EDD08}" name="CONCEPTO" totalsRowLabel="Total"/>
    <tableColumn id="2" xr3:uid="{B8C54DD4-1463-47D1-991A-C5FD6C6B5344}" name="VALOR"/>
    <tableColumn id="3" xr3:uid="{D41D2519-3605-4BA6-A691-958F5437A1EA}" name="CANTIDAD" totalsRowDxfId="2"/>
    <tableColumn id="4" xr3:uid="{E40AF428-D673-4ABE-85F5-91D4CFB22385}" name="SUB TOTAL" totalsRowFunction="sum" totalsRowDxfId="1">
      <calculatedColumnFormula>Tabla23141114161823115997[[#This Row],[VALOR]]*Tabla23141114161823115997[[#This Row],[CANTIDAD]]</calculatedColumnFormula>
    </tableColumn>
  </tableColumns>
  <tableStyleInfo name="TableStyleMedium1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792B5734-62C1-4012-A586-6DE9023E5C13}" name="Tabla332101315171925136098" displayName="Tabla332101315171925136098" ref="A15:D18" totalsRowShown="0">
  <autoFilter ref="A15:D18" xr:uid="{792B5734-62C1-4012-A586-6DE9023E5C13}"/>
  <tableColumns count="4">
    <tableColumn id="1" xr3:uid="{7A88268F-753D-4431-AD2D-C7D82F2A78B3}" name="FECHA" dataDxfId="0"/>
    <tableColumn id="2" xr3:uid="{F3F8DB79-7A7E-4A53-9E77-B8EAFE6CADDB}" name="CONCEPTO"/>
    <tableColumn id="3" xr3:uid="{0DB0066C-8D1B-4311-9EEC-837885A34801}" name="CANTIDAD"/>
    <tableColumn id="4" xr3:uid="{DBD38FDC-CB51-45B6-8F52-0CE1829DBE2B}" name="TOTAL">
      <calculatedColumnFormula>$K$14-C16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13" Type="http://schemas.openxmlformats.org/officeDocument/2006/relationships/table" Target="../tables/table49.xml"/><Relationship Id="rId18" Type="http://schemas.openxmlformats.org/officeDocument/2006/relationships/table" Target="../tables/table54.xml"/><Relationship Id="rId3" Type="http://schemas.openxmlformats.org/officeDocument/2006/relationships/table" Target="../tables/table39.xml"/><Relationship Id="rId21" Type="http://schemas.openxmlformats.org/officeDocument/2006/relationships/table" Target="../tables/table57.xml"/><Relationship Id="rId7" Type="http://schemas.openxmlformats.org/officeDocument/2006/relationships/table" Target="../tables/table43.xml"/><Relationship Id="rId12" Type="http://schemas.openxmlformats.org/officeDocument/2006/relationships/table" Target="../tables/table48.xml"/><Relationship Id="rId17" Type="http://schemas.openxmlformats.org/officeDocument/2006/relationships/table" Target="../tables/table53.xml"/><Relationship Id="rId25" Type="http://schemas.openxmlformats.org/officeDocument/2006/relationships/table" Target="../tables/table61.xml"/><Relationship Id="rId2" Type="http://schemas.openxmlformats.org/officeDocument/2006/relationships/table" Target="../tables/table38.xml"/><Relationship Id="rId16" Type="http://schemas.openxmlformats.org/officeDocument/2006/relationships/table" Target="../tables/table52.xml"/><Relationship Id="rId20" Type="http://schemas.openxmlformats.org/officeDocument/2006/relationships/table" Target="../tables/table5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2.xml"/><Relationship Id="rId11" Type="http://schemas.openxmlformats.org/officeDocument/2006/relationships/table" Target="../tables/table47.xml"/><Relationship Id="rId24" Type="http://schemas.openxmlformats.org/officeDocument/2006/relationships/table" Target="../tables/table60.xml"/><Relationship Id="rId5" Type="http://schemas.openxmlformats.org/officeDocument/2006/relationships/table" Target="../tables/table41.xml"/><Relationship Id="rId15" Type="http://schemas.openxmlformats.org/officeDocument/2006/relationships/table" Target="../tables/table51.xml"/><Relationship Id="rId23" Type="http://schemas.openxmlformats.org/officeDocument/2006/relationships/table" Target="../tables/table59.xml"/><Relationship Id="rId10" Type="http://schemas.openxmlformats.org/officeDocument/2006/relationships/table" Target="../tables/table46.xml"/><Relationship Id="rId19" Type="http://schemas.openxmlformats.org/officeDocument/2006/relationships/table" Target="../tables/table55.xml"/><Relationship Id="rId4" Type="http://schemas.openxmlformats.org/officeDocument/2006/relationships/table" Target="../tables/table40.xml"/><Relationship Id="rId9" Type="http://schemas.openxmlformats.org/officeDocument/2006/relationships/table" Target="../tables/table45.xml"/><Relationship Id="rId14" Type="http://schemas.openxmlformats.org/officeDocument/2006/relationships/table" Target="../tables/table50.xml"/><Relationship Id="rId22" Type="http://schemas.openxmlformats.org/officeDocument/2006/relationships/table" Target="../tables/table58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9.xml"/><Relationship Id="rId13" Type="http://schemas.openxmlformats.org/officeDocument/2006/relationships/table" Target="../tables/table74.xml"/><Relationship Id="rId18" Type="http://schemas.openxmlformats.org/officeDocument/2006/relationships/table" Target="../tables/table79.xml"/><Relationship Id="rId3" Type="http://schemas.openxmlformats.org/officeDocument/2006/relationships/table" Target="../tables/table64.xml"/><Relationship Id="rId21" Type="http://schemas.openxmlformats.org/officeDocument/2006/relationships/table" Target="../tables/table82.xml"/><Relationship Id="rId7" Type="http://schemas.openxmlformats.org/officeDocument/2006/relationships/table" Target="../tables/table68.xml"/><Relationship Id="rId12" Type="http://schemas.openxmlformats.org/officeDocument/2006/relationships/table" Target="../tables/table73.xml"/><Relationship Id="rId17" Type="http://schemas.openxmlformats.org/officeDocument/2006/relationships/table" Target="../tables/table78.xml"/><Relationship Id="rId2" Type="http://schemas.openxmlformats.org/officeDocument/2006/relationships/table" Target="../tables/table63.xml"/><Relationship Id="rId16" Type="http://schemas.openxmlformats.org/officeDocument/2006/relationships/table" Target="../tables/table77.xml"/><Relationship Id="rId20" Type="http://schemas.openxmlformats.org/officeDocument/2006/relationships/table" Target="../tables/table81.xml"/><Relationship Id="rId1" Type="http://schemas.openxmlformats.org/officeDocument/2006/relationships/table" Target="../tables/table62.xml"/><Relationship Id="rId6" Type="http://schemas.openxmlformats.org/officeDocument/2006/relationships/table" Target="../tables/table67.xml"/><Relationship Id="rId11" Type="http://schemas.openxmlformats.org/officeDocument/2006/relationships/table" Target="../tables/table72.xml"/><Relationship Id="rId24" Type="http://schemas.openxmlformats.org/officeDocument/2006/relationships/table" Target="../tables/table85.xml"/><Relationship Id="rId5" Type="http://schemas.openxmlformats.org/officeDocument/2006/relationships/table" Target="../tables/table66.xml"/><Relationship Id="rId15" Type="http://schemas.openxmlformats.org/officeDocument/2006/relationships/table" Target="../tables/table76.xml"/><Relationship Id="rId23" Type="http://schemas.openxmlformats.org/officeDocument/2006/relationships/table" Target="../tables/table84.xml"/><Relationship Id="rId10" Type="http://schemas.openxmlformats.org/officeDocument/2006/relationships/table" Target="../tables/table71.xml"/><Relationship Id="rId19" Type="http://schemas.openxmlformats.org/officeDocument/2006/relationships/table" Target="../tables/table80.xml"/><Relationship Id="rId4" Type="http://schemas.openxmlformats.org/officeDocument/2006/relationships/table" Target="../tables/table65.xml"/><Relationship Id="rId9" Type="http://schemas.openxmlformats.org/officeDocument/2006/relationships/table" Target="../tables/table70.xml"/><Relationship Id="rId14" Type="http://schemas.openxmlformats.org/officeDocument/2006/relationships/table" Target="../tables/table75.xml"/><Relationship Id="rId22" Type="http://schemas.openxmlformats.org/officeDocument/2006/relationships/table" Target="../tables/table8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8.xml"/><Relationship Id="rId2" Type="http://schemas.openxmlformats.org/officeDocument/2006/relationships/table" Target="../tables/table87.xml"/><Relationship Id="rId1" Type="http://schemas.openxmlformats.org/officeDocument/2006/relationships/table" Target="../tables/table86.xml"/><Relationship Id="rId4" Type="http://schemas.openxmlformats.org/officeDocument/2006/relationships/table" Target="../tables/table8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2" Type="http://schemas.openxmlformats.org/officeDocument/2006/relationships/table" Target="../tables/table91.xml"/><Relationship Id="rId1" Type="http://schemas.openxmlformats.org/officeDocument/2006/relationships/table" Target="../tables/table90.xml"/><Relationship Id="rId4" Type="http://schemas.openxmlformats.org/officeDocument/2006/relationships/table" Target="../tables/table9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5.xml"/><Relationship Id="rId1" Type="http://schemas.openxmlformats.org/officeDocument/2006/relationships/table" Target="../tables/table9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CCAA-F198-48AE-9C30-4C080DB33FB6}">
  <sheetPr>
    <tabColor rgb="FF002060"/>
  </sheetPr>
  <dimension ref="B1:P34"/>
  <sheetViews>
    <sheetView topLeftCell="B9" workbookViewId="0">
      <selection activeCell="O14" sqref="O13:O14"/>
    </sheetView>
  </sheetViews>
  <sheetFormatPr defaultColWidth="11.42578125" defaultRowHeight="15"/>
  <cols>
    <col min="2" max="2" width="34.28515625" bestFit="1" customWidth="1"/>
    <col min="4" max="4" width="24.28515625" bestFit="1" customWidth="1"/>
    <col min="5" max="5" width="11.7109375" bestFit="1" customWidth="1"/>
    <col min="8" max="8" width="15.28515625" customWidth="1"/>
    <col min="9" max="9" width="14" customWidth="1"/>
    <col min="10" max="10" width="13.140625" customWidth="1"/>
    <col min="11" max="11" width="13.85546875" customWidth="1"/>
    <col min="13" max="13" width="15" customWidth="1"/>
    <col min="14" max="14" width="14.42578125" customWidth="1"/>
    <col min="15" max="15" width="15.42578125" customWidth="1"/>
    <col min="16" max="26" width="16.140625" customWidth="1"/>
  </cols>
  <sheetData>
    <row r="1" spans="2:11" ht="20.25" customHeight="1"/>
    <row r="2" spans="2:11" ht="20.25" customHeight="1"/>
    <row r="3" spans="2:11" ht="15.75">
      <c r="B3" s="68" t="s">
        <v>0</v>
      </c>
      <c r="C3" s="69" t="s">
        <v>1</v>
      </c>
      <c r="D3" s="70" t="s">
        <v>2</v>
      </c>
    </row>
    <row r="4" spans="2:11">
      <c r="B4" s="71" t="s">
        <v>3</v>
      </c>
      <c r="C4" s="15"/>
      <c r="D4" s="72"/>
    </row>
    <row r="5" spans="2:11">
      <c r="B5" s="73" t="s">
        <v>4</v>
      </c>
      <c r="C5" s="225" t="s">
        <v>5</v>
      </c>
      <c r="D5" s="226"/>
    </row>
    <row r="6" spans="2:11">
      <c r="B6" s="74" t="s">
        <v>6</v>
      </c>
      <c r="C6" s="75">
        <v>0.33333333333333331</v>
      </c>
      <c r="D6" s="76" t="s">
        <v>7</v>
      </c>
      <c r="E6" s="1"/>
      <c r="H6" s="216" t="s">
        <v>8</v>
      </c>
      <c r="I6" s="217"/>
      <c r="J6" s="217"/>
      <c r="K6" s="218"/>
    </row>
    <row r="7" spans="2:11">
      <c r="H7" s="219"/>
      <c r="I7" s="220"/>
      <c r="J7" s="220"/>
      <c r="K7" s="221"/>
    </row>
    <row r="8" spans="2:11" ht="15.75">
      <c r="E8" s="23" t="s">
        <v>9</v>
      </c>
      <c r="F8" s="24">
        <f ca="1">TODAY()</f>
        <v>44716</v>
      </c>
      <c r="G8" s="42"/>
      <c r="H8" s="45" t="s">
        <v>10</v>
      </c>
      <c r="I8" s="46" t="s">
        <v>5</v>
      </c>
      <c r="J8" s="47" t="s">
        <v>9</v>
      </c>
      <c r="K8" s="48">
        <f ca="1">TODAY()</f>
        <v>44716</v>
      </c>
    </row>
    <row r="9" spans="2:11">
      <c r="B9" t="s">
        <v>11</v>
      </c>
      <c r="C9" t="s">
        <v>12</v>
      </c>
      <c r="D9" t="s">
        <v>13</v>
      </c>
      <c r="E9" t="s">
        <v>14</v>
      </c>
      <c r="F9" s="51" t="s">
        <v>15</v>
      </c>
      <c r="H9" t="s">
        <v>16</v>
      </c>
      <c r="I9" t="s">
        <v>17</v>
      </c>
      <c r="J9" s="22" t="s">
        <v>18</v>
      </c>
      <c r="K9" t="s">
        <v>19</v>
      </c>
    </row>
    <row r="10" spans="2:11">
      <c r="B10" s="120">
        <v>44651</v>
      </c>
      <c r="C10" s="83">
        <v>0.29166666666666669</v>
      </c>
      <c r="D10" s="83">
        <v>0.72222222222222221</v>
      </c>
      <c r="E10" s="1">
        <f t="shared" ref="E10:E25" si="0">D10-C10</f>
        <v>0.43055555555555552</v>
      </c>
      <c r="F10" s="1">
        <f t="shared" ref="F10:F25" si="1">E10-$C$6</f>
        <v>9.722222222222221E-2</v>
      </c>
      <c r="G10" s="1"/>
      <c r="H10" t="s">
        <v>20</v>
      </c>
      <c r="I10" s="3">
        <v>5000</v>
      </c>
      <c r="J10" s="22">
        <v>11</v>
      </c>
      <c r="K10" s="3">
        <f>Tabla27[[#This Row],[VALOR]]*Tabla27[[#This Row],[CANTIDAD]]</f>
        <v>55000</v>
      </c>
    </row>
    <row r="11" spans="2:11">
      <c r="B11" s="188">
        <v>44652</v>
      </c>
      <c r="C11" s="191">
        <v>0.29166666666666669</v>
      </c>
      <c r="D11" s="191">
        <v>0.71875</v>
      </c>
      <c r="E11" s="1">
        <v>0.80208333333333337</v>
      </c>
      <c r="F11" s="1">
        <v>0.46875</v>
      </c>
      <c r="G11" s="1"/>
      <c r="H11" t="s">
        <v>21</v>
      </c>
      <c r="I11" s="3">
        <v>7500</v>
      </c>
      <c r="J11" s="22">
        <v>30</v>
      </c>
      <c r="K11" s="3">
        <f>Tabla27[[#This Row],[VALOR]]*Tabla27[[#This Row],[CANTIDAD]]</f>
        <v>225000</v>
      </c>
    </row>
    <row r="12" spans="2:11">
      <c r="B12" s="188">
        <v>44653</v>
      </c>
      <c r="C12" s="191">
        <v>0.29166666666666669</v>
      </c>
      <c r="D12" s="191">
        <v>0.66666666666666663</v>
      </c>
      <c r="E12" s="1">
        <f t="shared" si="0"/>
        <v>0.37499999999999994</v>
      </c>
      <c r="F12" s="1">
        <v>4.1666666666666664E-2</v>
      </c>
      <c r="G12" s="1"/>
      <c r="H12" t="s">
        <v>22</v>
      </c>
      <c r="I12" s="3">
        <v>4313.43</v>
      </c>
      <c r="J12" s="22">
        <v>88</v>
      </c>
      <c r="K12" s="3">
        <v>323897</v>
      </c>
    </row>
    <row r="13" spans="2:11">
      <c r="B13" s="85">
        <v>44654</v>
      </c>
      <c r="C13" s="83">
        <v>0.29166666666666669</v>
      </c>
      <c r="D13" s="83">
        <v>0.5854166666666667</v>
      </c>
      <c r="E13" s="1">
        <f t="shared" si="0"/>
        <v>0.29375000000000001</v>
      </c>
      <c r="F13" s="1">
        <v>0.29375000000000001</v>
      </c>
      <c r="G13" s="1"/>
      <c r="H13" t="s">
        <v>23</v>
      </c>
      <c r="I13" s="3">
        <v>6000</v>
      </c>
      <c r="J13" s="22">
        <v>11</v>
      </c>
      <c r="K13" s="3">
        <f>Tabla27[[#This Row],[VALOR]]*Tabla27[[#This Row],[CANTIDAD]]</f>
        <v>66000</v>
      </c>
    </row>
    <row r="14" spans="2:11">
      <c r="B14" s="119">
        <v>44655</v>
      </c>
      <c r="C14" s="83"/>
      <c r="D14" s="83"/>
      <c r="E14" s="1">
        <f t="shared" si="0"/>
        <v>0</v>
      </c>
      <c r="F14" s="1">
        <v>0</v>
      </c>
      <c r="G14" s="1"/>
      <c r="H14" t="s">
        <v>24</v>
      </c>
      <c r="I14" s="3">
        <v>50000</v>
      </c>
      <c r="J14" s="22">
        <v>1</v>
      </c>
      <c r="K14" s="3">
        <f>Tabla27[[#This Row],[VALOR]]*Tabla27[[#This Row],[CANTIDAD]]</f>
        <v>50000</v>
      </c>
    </row>
    <row r="15" spans="2:11">
      <c r="B15" s="120">
        <v>44656</v>
      </c>
      <c r="C15" s="83">
        <v>0.29166666666666669</v>
      </c>
      <c r="D15" s="1">
        <v>0.70416666666666672</v>
      </c>
      <c r="E15" s="1">
        <f t="shared" si="0"/>
        <v>0.41250000000000003</v>
      </c>
      <c r="F15" s="1">
        <f t="shared" si="1"/>
        <v>7.9166666666666718E-2</v>
      </c>
      <c r="G15" s="1"/>
      <c r="H15" t="s">
        <v>25</v>
      </c>
      <c r="I15" s="3">
        <v>90000</v>
      </c>
      <c r="J15" s="89">
        <v>1</v>
      </c>
      <c r="K15" s="3">
        <f>Tabla27[[#This Row],[VALOR]]*Tabla27[[#This Row],[CANTIDAD]]</f>
        <v>90000</v>
      </c>
    </row>
    <row r="16" spans="2:11">
      <c r="B16" s="120">
        <v>44657</v>
      </c>
      <c r="C16" s="83">
        <v>0.29166666666666669</v>
      </c>
      <c r="D16" s="83">
        <v>0.70625000000000004</v>
      </c>
      <c r="E16" s="1">
        <f t="shared" si="0"/>
        <v>0.41458333333333336</v>
      </c>
      <c r="F16" s="1">
        <f t="shared" si="1"/>
        <v>8.1250000000000044E-2</v>
      </c>
      <c r="G16" s="1"/>
      <c r="I16" s="3"/>
      <c r="J16" s="22"/>
      <c r="K16" s="3">
        <f>Tabla27[[#This Row],[VALOR]]*Tabla27[[#This Row],[CANTIDAD]]</f>
        <v>0</v>
      </c>
    </row>
    <row r="17" spans="2:11">
      <c r="B17" s="120">
        <v>44658</v>
      </c>
      <c r="C17" s="83">
        <v>0.29166666666666669</v>
      </c>
      <c r="D17" s="83">
        <v>0.74791666666666667</v>
      </c>
      <c r="E17" s="1">
        <f t="shared" si="0"/>
        <v>0.45624999999999999</v>
      </c>
      <c r="F17" s="1">
        <f t="shared" si="1"/>
        <v>0.12291666666666667</v>
      </c>
      <c r="G17" s="1"/>
      <c r="H17" t="s">
        <v>26</v>
      </c>
      <c r="J17" s="26"/>
      <c r="K17" s="9">
        <f>SUBTOTAL(109,Tabla27[SUB TOTAL])</f>
        <v>809897</v>
      </c>
    </row>
    <row r="18" spans="2:11">
      <c r="B18" s="120">
        <v>44659</v>
      </c>
      <c r="C18" s="83">
        <v>0.29166666666666669</v>
      </c>
      <c r="D18" s="83">
        <v>0.70972222222222225</v>
      </c>
      <c r="E18" s="1">
        <f t="shared" si="0"/>
        <v>0.41805555555555557</v>
      </c>
      <c r="F18" s="1">
        <f t="shared" si="1"/>
        <v>8.4722222222222254E-2</v>
      </c>
      <c r="G18" s="1"/>
      <c r="H18" s="222" t="s">
        <v>27</v>
      </c>
      <c r="I18" s="222"/>
      <c r="J18" s="222"/>
      <c r="K18" s="222"/>
    </row>
    <row r="19" spans="2:11">
      <c r="B19" s="120">
        <v>44660</v>
      </c>
      <c r="C19" s="83">
        <v>0.29166666666666669</v>
      </c>
      <c r="D19" s="1">
        <v>0.74236111111111114</v>
      </c>
      <c r="E19" s="1">
        <f t="shared" si="0"/>
        <v>0.45069444444444445</v>
      </c>
      <c r="F19" s="1">
        <f t="shared" si="1"/>
        <v>0.11736111111111114</v>
      </c>
      <c r="G19" s="1"/>
      <c r="H19" t="s">
        <v>11</v>
      </c>
      <c r="I19" s="3" t="s">
        <v>16</v>
      </c>
      <c r="J19" s="22" t="s">
        <v>18</v>
      </c>
      <c r="K19" t="s">
        <v>14</v>
      </c>
    </row>
    <row r="20" spans="2:11">
      <c r="B20" s="85">
        <v>44661</v>
      </c>
      <c r="C20" s="1"/>
      <c r="D20" s="1"/>
      <c r="E20" s="1">
        <f t="shared" si="0"/>
        <v>0</v>
      </c>
      <c r="F20" s="1">
        <v>0</v>
      </c>
      <c r="G20" s="1"/>
      <c r="H20" s="116">
        <v>44670</v>
      </c>
      <c r="I20" s="52" t="s">
        <v>28</v>
      </c>
      <c r="J20" s="53">
        <f>K12</f>
        <v>323897</v>
      </c>
      <c r="K20" s="9">
        <f>Tabla27[[#Totals],[SUB TOTAL]]-J20</f>
        <v>486000</v>
      </c>
    </row>
    <row r="21" spans="2:11">
      <c r="B21" s="119">
        <v>44662</v>
      </c>
      <c r="C21" s="83"/>
      <c r="D21" s="1"/>
      <c r="E21" s="1">
        <f t="shared" si="0"/>
        <v>0</v>
      </c>
      <c r="F21" s="1">
        <v>0</v>
      </c>
      <c r="G21" s="1"/>
      <c r="H21" s="10"/>
      <c r="I21" s="52" t="s">
        <v>29</v>
      </c>
      <c r="J21" s="53">
        <v>100000</v>
      </c>
      <c r="K21" s="9">
        <f>K20-J21</f>
        <v>386000</v>
      </c>
    </row>
    <row r="22" spans="2:11">
      <c r="B22" s="120">
        <v>44663</v>
      </c>
      <c r="C22" s="83">
        <v>0.29166666666666669</v>
      </c>
      <c r="D22" s="1">
        <v>0.71388888888888891</v>
      </c>
      <c r="E22" s="1">
        <f t="shared" si="0"/>
        <v>0.42222222222222222</v>
      </c>
      <c r="F22" s="1">
        <f t="shared" si="1"/>
        <v>8.8888888888888906E-2</v>
      </c>
      <c r="G22" s="1"/>
      <c r="H22" s="10"/>
      <c r="I22" s="52" t="s">
        <v>30</v>
      </c>
      <c r="J22" s="53">
        <v>200000</v>
      </c>
      <c r="K22" s="9">
        <f t="shared" ref="K20:K24" si="2">K21-J22</f>
        <v>186000</v>
      </c>
    </row>
    <row r="23" spans="2:11">
      <c r="B23" s="120">
        <v>44664</v>
      </c>
      <c r="C23" s="83">
        <v>0.29166666666666669</v>
      </c>
      <c r="D23" s="83">
        <v>0.77013888888888893</v>
      </c>
      <c r="E23" s="1">
        <f t="shared" si="0"/>
        <v>0.47847222222222224</v>
      </c>
      <c r="F23" s="1">
        <f t="shared" si="1"/>
        <v>0.14513888888888893</v>
      </c>
      <c r="G23" s="1"/>
      <c r="H23" s="10"/>
      <c r="I23" s="52"/>
      <c r="J23" s="53">
        <v>0</v>
      </c>
      <c r="K23" s="9">
        <f t="shared" si="2"/>
        <v>186000</v>
      </c>
    </row>
    <row r="24" spans="2:11">
      <c r="B24" s="120">
        <v>44665</v>
      </c>
      <c r="C24" s="83">
        <v>0.29305555555555557</v>
      </c>
      <c r="D24" s="1">
        <v>0.70833333333333337</v>
      </c>
      <c r="E24" s="1">
        <f t="shared" si="0"/>
        <v>0.4152777777777778</v>
      </c>
      <c r="F24" s="1">
        <f t="shared" si="1"/>
        <v>8.1944444444444486E-2</v>
      </c>
      <c r="G24" s="1"/>
      <c r="H24" s="10"/>
      <c r="I24" s="52"/>
      <c r="J24" s="53"/>
      <c r="K24" s="9">
        <f t="shared" si="2"/>
        <v>186000</v>
      </c>
    </row>
    <row r="25" spans="2:11">
      <c r="B25" s="120"/>
      <c r="C25" s="1"/>
      <c r="D25" s="1"/>
      <c r="E25" s="1">
        <f t="shared" si="0"/>
        <v>0</v>
      </c>
      <c r="F25" s="1">
        <v>0</v>
      </c>
      <c r="G25" s="1"/>
      <c r="H25" s="227" t="s">
        <v>31</v>
      </c>
      <c r="I25" s="214"/>
      <c r="J25" s="214"/>
      <c r="K25" s="215"/>
    </row>
    <row r="26" spans="2:11">
      <c r="B26" t="s">
        <v>26</v>
      </c>
      <c r="C26">
        <f>SUBTOTAL(102,Tabla16[ENTRADA])</f>
        <v>12</v>
      </c>
      <c r="E26" s="2">
        <f>SUBTOTAL(109,E10:E25)</f>
        <v>5.3694444444444445</v>
      </c>
      <c r="F26" s="2">
        <f>SUBTOTAL(109,F10:F25)</f>
        <v>1.7027777777777779</v>
      </c>
      <c r="G26" s="44"/>
      <c r="H26" s="228"/>
      <c r="I26" s="229"/>
      <c r="J26" s="229"/>
      <c r="K26" s="230"/>
    </row>
    <row r="27" spans="2:11" ht="15.75">
      <c r="D27" s="145" t="s">
        <v>32</v>
      </c>
      <c r="E27" s="146">
        <f>Tabla16[[#Totals],[TOTAL]]-Tabla16[[#Totals],[EXTRAS]]</f>
        <v>3.6666666666666665</v>
      </c>
      <c r="F27" s="147" t="s">
        <v>7</v>
      </c>
      <c r="G27" s="43"/>
    </row>
    <row r="28" spans="2:11" ht="15.75">
      <c r="C28" s="1"/>
      <c r="D28" s="148" t="s">
        <v>33</v>
      </c>
      <c r="E28" s="31">
        <f>Tabla16[[#Totals],[EXTRAS]]</f>
        <v>1.7027777777777779</v>
      </c>
      <c r="F28" s="149" t="s">
        <v>7</v>
      </c>
      <c r="G28" s="43"/>
    </row>
    <row r="29" spans="2:11" ht="15.75">
      <c r="D29" s="150" t="s">
        <v>34</v>
      </c>
      <c r="E29" s="30">
        <v>12</v>
      </c>
      <c r="F29" s="151" t="s">
        <v>35</v>
      </c>
      <c r="G29" s="43"/>
    </row>
    <row r="30" spans="2:11" ht="15.75">
      <c r="D30" s="152" t="s">
        <v>36</v>
      </c>
      <c r="E30" s="30">
        <v>2</v>
      </c>
      <c r="F30" s="151" t="s">
        <v>35</v>
      </c>
      <c r="G30" s="44"/>
    </row>
    <row r="31" spans="2:11" ht="25.5" customHeight="1">
      <c r="D31" s="153" t="s">
        <v>37</v>
      </c>
      <c r="E31" s="55">
        <f>E6*11</f>
        <v>0</v>
      </c>
      <c r="F31" s="154" t="s">
        <v>7</v>
      </c>
      <c r="G31" s="44"/>
    </row>
    <row r="32" spans="2:11" ht="12" customHeight="1">
      <c r="D32" s="155" t="s">
        <v>38</v>
      </c>
      <c r="E32" s="156"/>
      <c r="F32" s="157" t="s">
        <v>7</v>
      </c>
    </row>
    <row r="33" spans="2:16" ht="15.75">
      <c r="B33" s="189" t="s">
        <v>39</v>
      </c>
      <c r="C33" s="160" t="s">
        <v>40</v>
      </c>
      <c r="D33" s="160">
        <v>120</v>
      </c>
      <c r="E33" s="160" t="s">
        <v>40</v>
      </c>
      <c r="F33" s="160" t="s">
        <v>40</v>
      </c>
      <c r="G33" s="160" t="s">
        <v>40</v>
      </c>
      <c r="H33" s="160" t="s">
        <v>40</v>
      </c>
      <c r="I33" s="160" t="s">
        <v>40</v>
      </c>
      <c r="J33" s="160" t="s">
        <v>41</v>
      </c>
      <c r="K33" s="160" t="s">
        <v>40</v>
      </c>
      <c r="L33" s="160" t="s">
        <v>42</v>
      </c>
      <c r="M33" s="190"/>
      <c r="N33" s="160" t="s">
        <v>40</v>
      </c>
      <c r="O33" s="160" t="s">
        <v>40</v>
      </c>
      <c r="P33" s="160" t="s">
        <v>40</v>
      </c>
    </row>
    <row r="34" spans="2:16" ht="24">
      <c r="B34" s="161" t="s">
        <v>43</v>
      </c>
      <c r="C34" s="162" t="s">
        <v>44</v>
      </c>
      <c r="D34" s="162" t="s">
        <v>40</v>
      </c>
      <c r="E34" s="162" t="s">
        <v>45</v>
      </c>
      <c r="F34" s="162" t="s">
        <v>40</v>
      </c>
      <c r="G34" s="162" t="s">
        <v>46</v>
      </c>
      <c r="H34" s="162" t="s">
        <v>47</v>
      </c>
      <c r="I34" s="162" t="s">
        <v>48</v>
      </c>
      <c r="J34" s="162" t="s">
        <v>49</v>
      </c>
      <c r="K34" s="162" t="s">
        <v>50</v>
      </c>
      <c r="L34" s="162" t="s">
        <v>40</v>
      </c>
      <c r="M34" s="162" t="s">
        <v>40</v>
      </c>
      <c r="N34" s="162" t="s">
        <v>51</v>
      </c>
      <c r="O34" s="162" t="s">
        <v>52</v>
      </c>
      <c r="P34" s="163">
        <v>0.29305555555555557</v>
      </c>
    </row>
  </sheetData>
  <mergeCells count="4">
    <mergeCell ref="C5:D5"/>
    <mergeCell ref="H18:K18"/>
    <mergeCell ref="H25:K26"/>
    <mergeCell ref="H6:K7"/>
  </mergeCells>
  <conditionalFormatting sqref="C10">
    <cfRule type="cellIs" dxfId="505" priority="2" operator="greaterThan">
      <formula>0.298611111111111</formula>
    </cfRule>
  </conditionalFormatting>
  <conditionalFormatting sqref="C11:C25">
    <cfRule type="cellIs" dxfId="504" priority="1" operator="greaterThan">
      <formula>0.298611111111111</formula>
    </cfRule>
  </conditionalFormatting>
  <pageMargins left="0.7" right="0.7" top="0.75" bottom="0.75" header="0.3" footer="0.3"/>
  <pageSetup orientation="portrait" horizontalDpi="0" verticalDpi="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C6A3-296A-4D2A-B88D-9D641F31FAA6}">
  <sheetPr>
    <tabColor rgb="FF002060"/>
  </sheetPr>
  <dimension ref="A1:O34"/>
  <sheetViews>
    <sheetView topLeftCell="A14" workbookViewId="0">
      <selection activeCell="M15" sqref="M15"/>
    </sheetView>
  </sheetViews>
  <sheetFormatPr defaultColWidth="11.42578125" defaultRowHeight="15"/>
  <cols>
    <col min="1" max="1" width="34.28515625" bestFit="1" customWidth="1"/>
    <col min="3" max="3" width="23.42578125" bestFit="1" customWidth="1"/>
    <col min="4" max="4" width="11.7109375" bestFit="1" customWidth="1"/>
    <col min="7" max="7" width="15.85546875" customWidth="1"/>
    <col min="8" max="8" width="16.7109375" bestFit="1" customWidth="1"/>
    <col min="9" max="9" width="11.85546875" bestFit="1" customWidth="1"/>
    <col min="10" max="10" width="14.5703125" customWidth="1"/>
    <col min="12" max="12" width="16.28515625" customWidth="1"/>
    <col min="13" max="13" width="15.85546875" customWidth="1"/>
    <col min="14" max="14" width="16.85546875" customWidth="1"/>
    <col min="15" max="15" width="14.7109375" customWidth="1"/>
  </cols>
  <sheetData>
    <row r="1" spans="1:10" ht="15.75" customHeight="1"/>
    <row r="2" spans="1:10" ht="15.75">
      <c r="A2" s="11" t="s">
        <v>0</v>
      </c>
      <c r="B2" s="12" t="s">
        <v>1</v>
      </c>
      <c r="C2" s="13" t="s">
        <v>2</v>
      </c>
    </row>
    <row r="3" spans="1:10">
      <c r="A3" s="14" t="s">
        <v>3</v>
      </c>
      <c r="B3" s="15"/>
      <c r="C3" s="34"/>
    </row>
    <row r="4" spans="1:10">
      <c r="A4" s="17" t="s">
        <v>4</v>
      </c>
      <c r="B4" s="225" t="s">
        <v>53</v>
      </c>
      <c r="C4" s="231"/>
    </row>
    <row r="5" spans="1:10" ht="15.75" customHeight="1">
      <c r="A5" s="18" t="s">
        <v>6</v>
      </c>
      <c r="B5" s="19">
        <v>0.33333333333333331</v>
      </c>
      <c r="C5" s="169" t="s">
        <v>7</v>
      </c>
      <c r="D5" s="168"/>
      <c r="G5" s="216" t="s">
        <v>8</v>
      </c>
      <c r="H5" s="217"/>
      <c r="I5" s="217"/>
      <c r="J5" s="218"/>
    </row>
    <row r="6" spans="1:10" ht="15" customHeight="1">
      <c r="G6" s="219"/>
      <c r="H6" s="220"/>
      <c r="I6" s="220"/>
      <c r="J6" s="221"/>
    </row>
    <row r="7" spans="1:10" ht="15" customHeight="1">
      <c r="G7" s="201"/>
      <c r="H7" s="202"/>
      <c r="I7" s="202"/>
      <c r="J7" s="206"/>
    </row>
    <row r="8" spans="1:10" ht="15.75">
      <c r="D8" s="23" t="s">
        <v>9</v>
      </c>
      <c r="E8" s="24">
        <f ca="1">TODAY()</f>
        <v>44716</v>
      </c>
      <c r="F8" s="42"/>
      <c r="G8" s="45" t="s">
        <v>10</v>
      </c>
      <c r="H8" s="46" t="s">
        <v>53</v>
      </c>
      <c r="I8" s="47" t="s">
        <v>9</v>
      </c>
      <c r="J8" s="48">
        <f ca="1">TODAY()</f>
        <v>44716</v>
      </c>
    </row>
    <row r="9" spans="1:10">
      <c r="A9" s="203" t="s">
        <v>11</v>
      </c>
      <c r="B9" s="203" t="s">
        <v>12</v>
      </c>
      <c r="C9" s="203" t="s">
        <v>13</v>
      </c>
      <c r="D9" s="203" t="s">
        <v>14</v>
      </c>
      <c r="E9" s="203" t="s">
        <v>15</v>
      </c>
      <c r="F9" s="203"/>
      <c r="G9" t="s">
        <v>16</v>
      </c>
      <c r="H9" t="s">
        <v>17</v>
      </c>
      <c r="I9" s="22" t="s">
        <v>18</v>
      </c>
      <c r="J9" t="s">
        <v>19</v>
      </c>
    </row>
    <row r="10" spans="1:10">
      <c r="A10" s="120">
        <v>44651</v>
      </c>
      <c r="B10" s="83">
        <v>0.29166666666666669</v>
      </c>
      <c r="C10" s="83">
        <v>0.72569444444444442</v>
      </c>
      <c r="D10" s="1">
        <f t="shared" ref="D10:D25" si="0">C10-B10</f>
        <v>0.43402777777777773</v>
      </c>
      <c r="E10" s="1">
        <f t="shared" ref="E10:E24" si="1">D10-$B$5</f>
        <v>0.10069444444444442</v>
      </c>
      <c r="F10" s="1"/>
      <c r="G10" t="s">
        <v>20</v>
      </c>
      <c r="H10" s="3">
        <v>5000</v>
      </c>
      <c r="I10" s="22">
        <v>11</v>
      </c>
      <c r="J10" s="3">
        <f>Tabla272[[#This Row],[VALOR]]*Tabla272[[#This Row],[CANTIDAD]]</f>
        <v>55000</v>
      </c>
    </row>
    <row r="11" spans="1:10">
      <c r="A11" s="188">
        <v>44652</v>
      </c>
      <c r="B11" s="191">
        <v>0.31041666666666667</v>
      </c>
      <c r="C11" s="191">
        <v>0.70833333333333337</v>
      </c>
      <c r="D11" s="1">
        <v>0.7729166666666667</v>
      </c>
      <c r="E11" s="1">
        <v>0.43958333333333333</v>
      </c>
      <c r="F11" s="1"/>
      <c r="G11" t="s">
        <v>21</v>
      </c>
      <c r="H11" s="3">
        <v>7500</v>
      </c>
      <c r="I11" s="22">
        <v>33</v>
      </c>
      <c r="J11" s="3">
        <f>Tabla272[[#This Row],[VALOR]]*Tabla272[[#This Row],[CANTIDAD]]</f>
        <v>247500</v>
      </c>
    </row>
    <row r="12" spans="1:10">
      <c r="A12" s="188">
        <v>44653</v>
      </c>
      <c r="B12" s="191">
        <v>0.29166666666666669</v>
      </c>
      <c r="C12" s="191">
        <v>0.66666666666666663</v>
      </c>
      <c r="D12" s="1">
        <f t="shared" si="0"/>
        <v>0.37499999999999994</v>
      </c>
      <c r="E12" s="1">
        <v>4.1666666666666664E-2</v>
      </c>
      <c r="F12" s="1"/>
      <c r="G12" t="s">
        <v>54</v>
      </c>
      <c r="H12" s="3">
        <v>4313.43</v>
      </c>
      <c r="I12" s="22">
        <v>88</v>
      </c>
      <c r="J12" s="3">
        <v>308619</v>
      </c>
    </row>
    <row r="13" spans="1:10">
      <c r="A13" s="85">
        <v>44654</v>
      </c>
      <c r="B13" s="83">
        <v>0.29166666666666669</v>
      </c>
      <c r="C13" s="83">
        <v>0.5854166666666667</v>
      </c>
      <c r="D13" s="1">
        <f t="shared" si="0"/>
        <v>0.29375000000000001</v>
      </c>
      <c r="E13" s="1">
        <v>0.29375000000000001</v>
      </c>
      <c r="F13" s="1"/>
      <c r="G13" t="s">
        <v>23</v>
      </c>
      <c r="H13" s="3">
        <v>6000</v>
      </c>
      <c r="I13" s="22">
        <v>12</v>
      </c>
      <c r="J13" s="3">
        <f>Tabla272[[#This Row],[VALOR]]*Tabla272[[#This Row],[CANTIDAD]]</f>
        <v>72000</v>
      </c>
    </row>
    <row r="14" spans="1:10">
      <c r="A14" s="119">
        <v>44655</v>
      </c>
      <c r="B14" s="83"/>
      <c r="C14" s="83"/>
      <c r="D14" s="1">
        <f t="shared" si="0"/>
        <v>0</v>
      </c>
      <c r="E14" s="1">
        <v>0</v>
      </c>
      <c r="F14" s="1"/>
      <c r="G14" t="s">
        <v>55</v>
      </c>
      <c r="H14" s="3">
        <v>35000</v>
      </c>
      <c r="I14" s="22">
        <v>1</v>
      </c>
      <c r="J14" s="3">
        <f>Tabla272[[#This Row],[VALOR]]*Tabla272[[#This Row],[CANTIDAD]]</f>
        <v>35000</v>
      </c>
    </row>
    <row r="15" spans="1:10">
      <c r="A15" s="120">
        <v>44656</v>
      </c>
      <c r="B15" s="83">
        <v>0.29166666666666669</v>
      </c>
      <c r="C15" s="1">
        <v>0.71875</v>
      </c>
      <c r="D15" s="1">
        <f t="shared" si="0"/>
        <v>0.42708333333333331</v>
      </c>
      <c r="E15" s="1">
        <f t="shared" si="1"/>
        <v>9.375E-2</v>
      </c>
      <c r="F15" s="1"/>
      <c r="G15" t="s">
        <v>25</v>
      </c>
      <c r="H15" s="3">
        <v>90000</v>
      </c>
      <c r="I15" s="22">
        <v>1</v>
      </c>
      <c r="J15" s="3">
        <f>Tabla272[[#This Row],[VALOR]]*Tabla272[[#This Row],[CANTIDAD]]</f>
        <v>90000</v>
      </c>
    </row>
    <row r="16" spans="1:10">
      <c r="A16" s="120">
        <v>44657</v>
      </c>
      <c r="B16" s="83">
        <v>0.29166666666666669</v>
      </c>
      <c r="C16" s="83">
        <v>0.70972222222222225</v>
      </c>
      <c r="D16" s="1">
        <f t="shared" si="0"/>
        <v>0.41805555555555557</v>
      </c>
      <c r="E16" s="1">
        <f t="shared" si="1"/>
        <v>8.4722222222222254E-2</v>
      </c>
      <c r="F16" s="1"/>
      <c r="H16" s="3"/>
      <c r="I16" s="22"/>
      <c r="J16" s="3">
        <f>Tabla272[[#This Row],[VALOR]]*Tabla272[[#This Row],[CANTIDAD]]</f>
        <v>0</v>
      </c>
    </row>
    <row r="17" spans="1:10">
      <c r="A17" s="120">
        <v>44658</v>
      </c>
      <c r="B17" s="83">
        <v>0.29166666666666669</v>
      </c>
      <c r="C17" s="83">
        <v>0.75347222222222221</v>
      </c>
      <c r="D17" s="1">
        <f t="shared" si="0"/>
        <v>0.46180555555555552</v>
      </c>
      <c r="E17" s="1">
        <f t="shared" si="1"/>
        <v>0.12847222222222221</v>
      </c>
      <c r="F17" s="1"/>
      <c r="G17" t="s">
        <v>26</v>
      </c>
      <c r="I17" s="26"/>
      <c r="J17" s="9">
        <f>SUBTOTAL(109,Tabla272[SUB TOTAL])</f>
        <v>808119</v>
      </c>
    </row>
    <row r="18" spans="1:10">
      <c r="A18" s="120">
        <v>44659</v>
      </c>
      <c r="B18" s="83">
        <v>0.29166666666666669</v>
      </c>
      <c r="C18" s="83">
        <v>0.71805555555555556</v>
      </c>
      <c r="D18" s="1">
        <f t="shared" si="0"/>
        <v>0.42638888888888887</v>
      </c>
      <c r="E18" s="1">
        <f t="shared" si="1"/>
        <v>9.3055555555555558E-2</v>
      </c>
      <c r="F18" s="1"/>
      <c r="G18" s="222" t="s">
        <v>27</v>
      </c>
      <c r="H18" s="222"/>
      <c r="I18" s="222"/>
      <c r="J18" s="222"/>
    </row>
    <row r="19" spans="1:10">
      <c r="A19" s="120">
        <v>44660</v>
      </c>
      <c r="B19" s="83">
        <v>0.29166666666666669</v>
      </c>
      <c r="C19" s="1">
        <v>0.72013888888888888</v>
      </c>
      <c r="D19" s="1">
        <f t="shared" si="0"/>
        <v>0.4284722222222222</v>
      </c>
      <c r="E19" s="1">
        <f t="shared" si="1"/>
        <v>9.5138888888888884E-2</v>
      </c>
      <c r="F19" s="1"/>
      <c r="G19" t="s">
        <v>11</v>
      </c>
      <c r="H19" s="3" t="s">
        <v>16</v>
      </c>
      <c r="I19" s="22" t="s">
        <v>18</v>
      </c>
      <c r="J19" t="s">
        <v>14</v>
      </c>
    </row>
    <row r="20" spans="1:10">
      <c r="A20" s="85">
        <v>44661</v>
      </c>
      <c r="B20" s="1">
        <v>0.29791666666666666</v>
      </c>
      <c r="C20" s="1">
        <v>0.47847222222222224</v>
      </c>
      <c r="D20" s="1">
        <f t="shared" si="0"/>
        <v>0.18055555555555558</v>
      </c>
      <c r="E20" s="1">
        <v>0.18055555555555555</v>
      </c>
      <c r="F20" s="1"/>
      <c r="G20" s="116">
        <v>44670</v>
      </c>
      <c r="H20" t="s">
        <v>56</v>
      </c>
      <c r="I20" s="22">
        <f>J12</f>
        <v>308619</v>
      </c>
      <c r="J20" s="9">
        <f>Tabla272[[#Totals],[SUB TOTAL]]-I20</f>
        <v>499500</v>
      </c>
    </row>
    <row r="21" spans="1:10">
      <c r="A21" s="119">
        <v>44662</v>
      </c>
      <c r="B21" s="83"/>
      <c r="C21" s="1"/>
      <c r="D21" s="1">
        <f t="shared" si="0"/>
        <v>0</v>
      </c>
      <c r="E21" s="1">
        <v>0</v>
      </c>
      <c r="F21" s="1"/>
      <c r="G21" s="10"/>
      <c r="H21" s="42" t="s">
        <v>30</v>
      </c>
      <c r="I21" s="21">
        <v>410375</v>
      </c>
      <c r="J21" s="9">
        <f>J20-I21</f>
        <v>89125</v>
      </c>
    </row>
    <row r="22" spans="1:10">
      <c r="A22" s="120">
        <v>44663</v>
      </c>
      <c r="B22" s="83">
        <v>0.29166666666666669</v>
      </c>
      <c r="C22" s="1">
        <v>0.71458333333333335</v>
      </c>
      <c r="D22" s="1">
        <f t="shared" si="0"/>
        <v>0.42291666666666666</v>
      </c>
      <c r="E22" s="1">
        <f t="shared" si="1"/>
        <v>8.9583333333333348E-2</v>
      </c>
      <c r="F22" s="1"/>
      <c r="G22" s="10"/>
      <c r="H22" s="42"/>
      <c r="I22" s="21"/>
      <c r="J22" s="9">
        <f t="shared" ref="J22:J23" si="2">J21-I22</f>
        <v>89125</v>
      </c>
    </row>
    <row r="23" spans="1:10">
      <c r="A23" s="120">
        <v>44664</v>
      </c>
      <c r="B23" s="83">
        <v>0.29166666666666669</v>
      </c>
      <c r="C23" s="83">
        <v>0.75555555555555554</v>
      </c>
      <c r="D23" s="1">
        <f t="shared" si="0"/>
        <v>0.46388888888888885</v>
      </c>
      <c r="E23" s="1">
        <f t="shared" si="1"/>
        <v>0.13055555555555554</v>
      </c>
      <c r="F23" s="1"/>
      <c r="G23" s="10"/>
      <c r="H23" s="42"/>
      <c r="I23" s="22"/>
      <c r="J23" s="9">
        <f t="shared" si="2"/>
        <v>89125</v>
      </c>
    </row>
    <row r="24" spans="1:10">
      <c r="A24" s="120">
        <v>44665</v>
      </c>
      <c r="B24" s="83">
        <v>0.3</v>
      </c>
      <c r="C24" s="1">
        <v>0.70833333333333337</v>
      </c>
      <c r="D24" s="1">
        <f t="shared" si="0"/>
        <v>0.40833333333333338</v>
      </c>
      <c r="E24" s="1">
        <f t="shared" si="1"/>
        <v>7.5000000000000067E-2</v>
      </c>
      <c r="F24" s="1"/>
      <c r="G24" s="10"/>
      <c r="H24" s="42"/>
      <c r="I24" s="21"/>
      <c r="J24" s="54"/>
    </row>
    <row r="25" spans="1:10">
      <c r="A25" s="120"/>
      <c r="B25" s="1"/>
      <c r="C25" s="1"/>
      <c r="D25" s="1">
        <f t="shared" si="0"/>
        <v>0</v>
      </c>
      <c r="E25" s="1">
        <v>0</v>
      </c>
      <c r="F25" s="1"/>
      <c r="G25" s="224" t="s">
        <v>31</v>
      </c>
      <c r="H25" s="224"/>
      <c r="I25" s="224"/>
      <c r="J25" s="224"/>
    </row>
    <row r="26" spans="1:10">
      <c r="A26" t="s">
        <v>26</v>
      </c>
      <c r="D26" s="2">
        <f>SUBTOTAL(109,D10:D25)</f>
        <v>5.5131944444444434</v>
      </c>
      <c r="E26" s="2">
        <f>SUBTOTAL(109,E10:E25)</f>
        <v>1.8465277777777778</v>
      </c>
      <c r="F26" s="2"/>
      <c r="G26" s="224"/>
      <c r="H26" s="224"/>
      <c r="I26" s="224"/>
      <c r="J26" s="224"/>
    </row>
    <row r="27" spans="1:10" ht="15.75">
      <c r="B27" s="1"/>
      <c r="C27" s="7" t="s">
        <v>33</v>
      </c>
      <c r="D27" s="31">
        <f>Tabla165[[#Totals],[TOTAL]]-Tabla165[[#Totals],[EXTRAS]]</f>
        <v>3.6666666666666656</v>
      </c>
      <c r="E27" s="27" t="s">
        <v>7</v>
      </c>
      <c r="F27" s="43"/>
    </row>
    <row r="28" spans="1:10" ht="15.75">
      <c r="C28" s="29" t="s">
        <v>34</v>
      </c>
      <c r="D28" s="30">
        <v>12</v>
      </c>
      <c r="E28" s="30" t="s">
        <v>35</v>
      </c>
      <c r="F28" s="43"/>
    </row>
    <row r="29" spans="1:10" ht="15.75">
      <c r="C29" s="37" t="s">
        <v>36</v>
      </c>
      <c r="D29" s="30">
        <v>0</v>
      </c>
      <c r="E29" s="30" t="s">
        <v>35</v>
      </c>
      <c r="F29" s="43"/>
    </row>
    <row r="30" spans="1:10">
      <c r="C30" s="33" t="s">
        <v>37</v>
      </c>
      <c r="D30" s="55"/>
      <c r="E30" s="32" t="s">
        <v>7</v>
      </c>
      <c r="F30" s="44"/>
      <c r="G30" s="2"/>
    </row>
    <row r="31" spans="1:10">
      <c r="C31" s="39" t="s">
        <v>38</v>
      </c>
      <c r="D31" s="56">
        <v>4.1666666666666664E-2</v>
      </c>
      <c r="E31" s="40" t="s">
        <v>7</v>
      </c>
      <c r="F31" s="44"/>
      <c r="G31" s="2"/>
    </row>
    <row r="32" spans="1:10" ht="21.75" customHeight="1">
      <c r="C32" s="41" t="s">
        <v>57</v>
      </c>
      <c r="D32" s="28">
        <v>0</v>
      </c>
      <c r="E32" s="28" t="s">
        <v>35</v>
      </c>
      <c r="F32" s="44"/>
    </row>
    <row r="33" spans="1:15" ht="15.75">
      <c r="A33" s="189" t="s">
        <v>39</v>
      </c>
      <c r="B33" s="160" t="s">
        <v>40</v>
      </c>
      <c r="C33" s="160">
        <v>17</v>
      </c>
      <c r="D33" s="160" t="s">
        <v>40</v>
      </c>
      <c r="E33" s="160" t="s">
        <v>40</v>
      </c>
      <c r="F33" s="160" t="s">
        <v>40</v>
      </c>
      <c r="G33" s="160" t="s">
        <v>40</v>
      </c>
      <c r="H33" s="160" t="s">
        <v>40</v>
      </c>
      <c r="I33" s="160" t="s">
        <v>41</v>
      </c>
      <c r="J33" s="160" t="s">
        <v>40</v>
      </c>
      <c r="K33" s="160" t="s">
        <v>53</v>
      </c>
      <c r="L33" s="190"/>
      <c r="M33" s="160" t="s">
        <v>40</v>
      </c>
      <c r="N33" s="160" t="s">
        <v>40</v>
      </c>
      <c r="O33" s="160" t="s">
        <v>40</v>
      </c>
    </row>
    <row r="34" spans="1:15" ht="36">
      <c r="A34" s="161" t="s">
        <v>58</v>
      </c>
      <c r="B34" s="162" t="s">
        <v>59</v>
      </c>
      <c r="C34" s="162" t="s">
        <v>40</v>
      </c>
      <c r="D34" s="162" t="s">
        <v>45</v>
      </c>
      <c r="E34" s="162" t="s">
        <v>40</v>
      </c>
      <c r="F34" s="162" t="s">
        <v>60</v>
      </c>
      <c r="G34" s="162" t="s">
        <v>61</v>
      </c>
      <c r="H34" s="162" t="s">
        <v>62</v>
      </c>
      <c r="I34" s="162" t="s">
        <v>63</v>
      </c>
      <c r="J34" s="162" t="s">
        <v>64</v>
      </c>
      <c r="K34" s="162" t="s">
        <v>65</v>
      </c>
      <c r="L34" s="162" t="s">
        <v>40</v>
      </c>
      <c r="M34" s="162" t="s">
        <v>66</v>
      </c>
      <c r="N34" s="162" t="s">
        <v>67</v>
      </c>
      <c r="O34" s="163">
        <v>0.3</v>
      </c>
    </row>
  </sheetData>
  <mergeCells count="4">
    <mergeCell ref="G25:J26"/>
    <mergeCell ref="B4:C4"/>
    <mergeCell ref="G5:J6"/>
    <mergeCell ref="G18:J18"/>
  </mergeCells>
  <conditionalFormatting sqref="B10">
    <cfRule type="cellIs" dxfId="490" priority="2" operator="greaterThan">
      <formula>0.298611111111111</formula>
    </cfRule>
  </conditionalFormatting>
  <conditionalFormatting sqref="B11:B25">
    <cfRule type="cellIs" dxfId="489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9679-FCD3-44EF-9508-12F2592EF6B4}">
  <dimension ref="A2:O31"/>
  <sheetViews>
    <sheetView workbookViewId="0">
      <selection activeCell="J19" sqref="J19"/>
    </sheetView>
  </sheetViews>
  <sheetFormatPr defaultColWidth="9.140625" defaultRowHeight="15"/>
  <cols>
    <col min="1" max="1" width="13.7109375" customWidth="1"/>
    <col min="2" max="2" width="34" customWidth="1"/>
    <col min="3" max="3" width="14.85546875" customWidth="1"/>
    <col min="4" max="4" width="14.42578125" customWidth="1"/>
    <col min="5" max="5" width="13.28515625" customWidth="1"/>
    <col min="6" max="6" width="12.28515625" customWidth="1"/>
    <col min="7" max="7" width="11.7109375" customWidth="1"/>
    <col min="8" max="8" width="13" bestFit="1" customWidth="1"/>
    <col min="9" max="9" width="14.42578125" bestFit="1" customWidth="1"/>
    <col min="10" max="10" width="11.42578125" customWidth="1"/>
    <col min="11" max="11" width="14.7109375" customWidth="1"/>
    <col min="13" max="13" width="13.5703125" customWidth="1"/>
    <col min="14" max="14" width="13.28515625" customWidth="1"/>
    <col min="16" max="16" width="13.85546875" customWidth="1"/>
  </cols>
  <sheetData>
    <row r="2" spans="1:11" ht="15.75">
      <c r="B2" s="11" t="s">
        <v>0</v>
      </c>
      <c r="C2" s="12" t="s">
        <v>1</v>
      </c>
      <c r="D2" s="13" t="s">
        <v>2</v>
      </c>
    </row>
    <row r="3" spans="1:11">
      <c r="B3" s="14" t="s">
        <v>3</v>
      </c>
      <c r="C3" s="15"/>
      <c r="D3" s="34"/>
    </row>
    <row r="4" spans="1:11">
      <c r="B4" s="17" t="s">
        <v>4</v>
      </c>
      <c r="C4" s="225" t="s">
        <v>68</v>
      </c>
      <c r="D4" s="231"/>
    </row>
    <row r="5" spans="1:11" ht="15" customHeight="1">
      <c r="B5" s="18" t="s">
        <v>6</v>
      </c>
      <c r="C5" s="19">
        <v>0.375</v>
      </c>
      <c r="D5" s="20" t="s">
        <v>7</v>
      </c>
      <c r="H5" s="216" t="s">
        <v>8</v>
      </c>
      <c r="I5" s="217"/>
      <c r="J5" s="217"/>
      <c r="K5" s="218"/>
    </row>
    <row r="6" spans="1:11" ht="15" customHeight="1">
      <c r="H6" s="219"/>
      <c r="I6" s="220"/>
      <c r="J6" s="220"/>
      <c r="K6" s="221"/>
    </row>
    <row r="7" spans="1:11">
      <c r="E7" s="23" t="s">
        <v>9</v>
      </c>
      <c r="F7" s="24">
        <f ca="1">TODAY()</f>
        <v>44716</v>
      </c>
      <c r="G7" s="42"/>
      <c r="H7" s="45" t="s">
        <v>10</v>
      </c>
      <c r="I7" s="49" t="s">
        <v>68</v>
      </c>
      <c r="J7" s="47" t="s">
        <v>9</v>
      </c>
      <c r="K7" s="48">
        <f ca="1">TODAY()</f>
        <v>44716</v>
      </c>
    </row>
    <row r="8" spans="1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3"/>
      <c r="H8" t="s">
        <v>16</v>
      </c>
      <c r="I8" t="s">
        <v>17</v>
      </c>
      <c r="J8" s="22" t="s">
        <v>18</v>
      </c>
      <c r="K8" t="s">
        <v>19</v>
      </c>
    </row>
    <row r="9" spans="1:11">
      <c r="B9" s="120">
        <v>44651</v>
      </c>
      <c r="C9" s="83">
        <v>0.29166666666666669</v>
      </c>
      <c r="D9" s="83">
        <v>0.72291666666666665</v>
      </c>
      <c r="E9" s="1">
        <f t="shared" ref="E9:E24" si="0">D9-C9</f>
        <v>0.43124999999999997</v>
      </c>
      <c r="F9" s="1">
        <f t="shared" ref="F9:F24" si="1">E9-$C$5</f>
        <v>5.6249999999999967E-2</v>
      </c>
      <c r="G9" s="38"/>
      <c r="H9" t="s">
        <v>20</v>
      </c>
      <c r="I9" s="3">
        <v>5000</v>
      </c>
      <c r="J9" s="22">
        <v>99</v>
      </c>
      <c r="K9" s="3">
        <f>Tabla23141114161820[[#This Row],[VALOR]]*Tabla23141114161820[[#This Row],[CANTIDAD]]</f>
        <v>495000</v>
      </c>
    </row>
    <row r="10" spans="1:11">
      <c r="B10" s="188">
        <v>44652</v>
      </c>
      <c r="C10" s="191">
        <v>0.23541666666666666</v>
      </c>
      <c r="D10" s="191">
        <v>0.70833333333333337</v>
      </c>
      <c r="E10" s="1">
        <v>0.84791666666666665</v>
      </c>
      <c r="F10" s="1">
        <v>0.47291666666666665</v>
      </c>
      <c r="G10" s="38"/>
      <c r="H10" t="s">
        <v>21</v>
      </c>
      <c r="I10" s="3">
        <v>7500</v>
      </c>
      <c r="J10" s="22">
        <v>32</v>
      </c>
      <c r="K10" s="3">
        <f>Tabla23141114161820[[#This Row],[VALOR]]*Tabla23141114161820[[#This Row],[CANTIDAD]]</f>
        <v>240000</v>
      </c>
    </row>
    <row r="11" spans="1:11">
      <c r="B11" s="188">
        <v>44653</v>
      </c>
      <c r="C11" s="191">
        <v>0.29166666666666669</v>
      </c>
      <c r="D11" s="191">
        <v>0.66666666666666663</v>
      </c>
      <c r="E11" s="1">
        <f t="shared" si="0"/>
        <v>0.37499999999999994</v>
      </c>
      <c r="F11" s="1">
        <f t="shared" si="1"/>
        <v>0</v>
      </c>
      <c r="G11" s="38"/>
      <c r="H11" t="s">
        <v>23</v>
      </c>
      <c r="I11" s="3">
        <v>6000</v>
      </c>
      <c r="J11" s="22">
        <v>11</v>
      </c>
      <c r="K11" s="3">
        <f>Tabla23141114161820[[#This Row],[VALOR]]*Tabla23141114161820[[#This Row],[CANTIDAD]]</f>
        <v>66000</v>
      </c>
    </row>
    <row r="12" spans="1:11">
      <c r="B12" s="85">
        <v>44654</v>
      </c>
      <c r="C12" s="83">
        <v>0.29166666666666669</v>
      </c>
      <c r="D12" s="83">
        <v>0.58125000000000004</v>
      </c>
      <c r="E12" s="1">
        <f t="shared" si="0"/>
        <v>0.28958333333333336</v>
      </c>
      <c r="F12" s="1">
        <v>0.28958333333333336</v>
      </c>
      <c r="G12" s="38"/>
      <c r="H12" t="s">
        <v>25</v>
      </c>
      <c r="I12" s="3">
        <v>90000</v>
      </c>
      <c r="J12" s="89">
        <v>1</v>
      </c>
      <c r="K12" s="3">
        <f>Tabla23141114161820[[#This Row],[VALOR]]*Tabla23141114161820[[#This Row],[CANTIDAD]]</f>
        <v>90000</v>
      </c>
    </row>
    <row r="13" spans="1:11">
      <c r="B13" s="119">
        <v>44655</v>
      </c>
      <c r="C13" s="83"/>
      <c r="D13" s="83"/>
      <c r="E13" s="1">
        <f t="shared" si="0"/>
        <v>0</v>
      </c>
      <c r="F13" s="1">
        <v>0</v>
      </c>
      <c r="G13" s="38"/>
      <c r="H13" t="s">
        <v>24</v>
      </c>
      <c r="I13" s="3">
        <v>35000</v>
      </c>
      <c r="J13" s="22">
        <v>1</v>
      </c>
      <c r="K13" s="3">
        <f>Tabla23141114161820[[#This Row],[VALOR]]*Tabla23141114161820[[#This Row],[CANTIDAD]]</f>
        <v>35000</v>
      </c>
    </row>
    <row r="14" spans="1:11">
      <c r="B14" s="120">
        <v>44656</v>
      </c>
      <c r="C14" s="83">
        <v>0.29166666666666669</v>
      </c>
      <c r="D14" s="1">
        <v>0.70416666666666672</v>
      </c>
      <c r="E14" s="1">
        <f t="shared" si="0"/>
        <v>0.41250000000000003</v>
      </c>
      <c r="F14" s="1">
        <f t="shared" si="1"/>
        <v>3.7500000000000033E-2</v>
      </c>
      <c r="G14" s="38"/>
      <c r="I14" s="3"/>
      <c r="J14" s="22"/>
      <c r="K14" s="3">
        <f>Tabla23141114161820[[#This Row],[VALOR]]*Tabla23141114161820[[#This Row],[CANTIDAD]]</f>
        <v>0</v>
      </c>
    </row>
    <row r="15" spans="1:11">
      <c r="B15" s="120">
        <v>44657</v>
      </c>
      <c r="C15" s="83">
        <v>0.29166666666666669</v>
      </c>
      <c r="D15" s="83">
        <v>0.75624999999999998</v>
      </c>
      <c r="E15" s="1">
        <f t="shared" si="0"/>
        <v>0.46458333333333329</v>
      </c>
      <c r="F15" s="1">
        <f t="shared" si="1"/>
        <v>8.9583333333333293E-2</v>
      </c>
      <c r="G15" s="38"/>
      <c r="H15" t="s">
        <v>26</v>
      </c>
      <c r="J15" s="26"/>
      <c r="K15" s="9">
        <f>SUBTOTAL(109,Tabla23141114161820[SUB TOTAL])</f>
        <v>926000</v>
      </c>
    </row>
    <row r="16" spans="1:11">
      <c r="A16" s="87"/>
      <c r="B16" s="120">
        <v>44658</v>
      </c>
      <c r="C16" s="83">
        <v>0.29166666666666669</v>
      </c>
      <c r="D16" s="83">
        <v>0.75347222222222221</v>
      </c>
      <c r="E16" s="1">
        <f t="shared" si="0"/>
        <v>0.46180555555555552</v>
      </c>
      <c r="F16" s="1">
        <f t="shared" si="1"/>
        <v>8.6805555555555525E-2</v>
      </c>
      <c r="G16" s="38"/>
      <c r="H16" s="222" t="s">
        <v>27</v>
      </c>
      <c r="I16" s="222"/>
      <c r="J16" s="222"/>
      <c r="K16" s="222"/>
    </row>
    <row r="17" spans="1:15">
      <c r="B17" s="120">
        <v>44659</v>
      </c>
      <c r="C17" s="83">
        <v>0.29166666666666669</v>
      </c>
      <c r="D17" s="83">
        <v>0.70763888888888893</v>
      </c>
      <c r="E17" s="1">
        <f t="shared" si="0"/>
        <v>0.41597222222222224</v>
      </c>
      <c r="F17" s="1">
        <f t="shared" si="1"/>
        <v>4.0972222222222243E-2</v>
      </c>
      <c r="G17" s="38"/>
      <c r="H17" t="s">
        <v>11</v>
      </c>
      <c r="I17" s="3" t="s">
        <v>16</v>
      </c>
      <c r="J17" s="22" t="s">
        <v>18</v>
      </c>
      <c r="K17" t="s">
        <v>14</v>
      </c>
    </row>
    <row r="18" spans="1:15">
      <c r="B18" s="120">
        <v>44660</v>
      </c>
      <c r="C18" s="83">
        <v>0.29166666666666669</v>
      </c>
      <c r="D18" s="1">
        <v>0.74236111111111114</v>
      </c>
      <c r="E18" s="1">
        <f t="shared" si="0"/>
        <v>0.45069444444444445</v>
      </c>
      <c r="F18" s="1">
        <f t="shared" si="1"/>
        <v>7.5694444444444453E-2</v>
      </c>
      <c r="G18" s="38"/>
      <c r="H18" s="10">
        <v>44670</v>
      </c>
      <c r="I18" t="s">
        <v>30</v>
      </c>
      <c r="J18" s="22">
        <v>60000</v>
      </c>
      <c r="K18" s="9">
        <f>Tabla23141114161820[[#Totals],[SUB TOTAL]]-Tabla332101315171922[[#This Row],[CANTIDAD]]</f>
        <v>866000</v>
      </c>
    </row>
    <row r="19" spans="1:15">
      <c r="B19" s="85">
        <v>44661</v>
      </c>
      <c r="C19" s="1"/>
      <c r="D19" s="1"/>
      <c r="E19" s="1">
        <f t="shared" si="0"/>
        <v>0</v>
      </c>
      <c r="F19" s="1">
        <v>0</v>
      </c>
      <c r="G19" s="38"/>
      <c r="H19" s="10"/>
      <c r="J19" s="21"/>
      <c r="K19" s="9">
        <f>K18-Tabla332101315171922[[#This Row],[CANTIDAD]]</f>
        <v>866000</v>
      </c>
    </row>
    <row r="20" spans="1:15">
      <c r="B20" s="119">
        <v>44662</v>
      </c>
      <c r="C20" s="83"/>
      <c r="D20" s="1"/>
      <c r="E20" s="1">
        <f t="shared" si="0"/>
        <v>0</v>
      </c>
      <c r="F20" s="1">
        <v>0</v>
      </c>
      <c r="G20" s="38"/>
      <c r="H20" s="10"/>
      <c r="J20" s="21"/>
      <c r="K20" s="9">
        <f>K19-Tabla332101315171922[[#This Row],[CANTIDAD]]</f>
        <v>866000</v>
      </c>
    </row>
    <row r="21" spans="1:15">
      <c r="B21" s="120">
        <v>44663</v>
      </c>
      <c r="C21" s="83">
        <v>0.29166666666666669</v>
      </c>
      <c r="D21" s="1">
        <v>0.71597222222222223</v>
      </c>
      <c r="E21" s="1">
        <f t="shared" si="0"/>
        <v>0.42430555555555555</v>
      </c>
      <c r="F21" s="1">
        <f t="shared" si="1"/>
        <v>4.9305555555555547E-2</v>
      </c>
      <c r="G21" s="38"/>
      <c r="H21" s="224" t="s">
        <v>31</v>
      </c>
      <c r="I21" s="224"/>
      <c r="J21" s="224"/>
      <c r="K21" s="224"/>
    </row>
    <row r="22" spans="1:15">
      <c r="B22" s="120">
        <v>44664</v>
      </c>
      <c r="C22" s="83">
        <v>0.29166666666666669</v>
      </c>
      <c r="D22" s="83">
        <v>0.76597222222222228</v>
      </c>
      <c r="E22" s="1">
        <f t="shared" si="0"/>
        <v>0.47430555555555559</v>
      </c>
      <c r="F22" s="1">
        <f t="shared" si="1"/>
        <v>9.9305555555555591E-2</v>
      </c>
      <c r="G22" s="38"/>
      <c r="H22" s="224"/>
      <c r="I22" s="224"/>
      <c r="J22" s="224"/>
      <c r="K22" s="224"/>
    </row>
    <row r="23" spans="1:15">
      <c r="B23" s="120">
        <v>44665</v>
      </c>
      <c r="C23" s="83">
        <v>0.29166666666666669</v>
      </c>
      <c r="D23" s="1">
        <v>0.70833333333333337</v>
      </c>
      <c r="E23" s="1">
        <f t="shared" si="0"/>
        <v>0.41666666666666669</v>
      </c>
      <c r="F23" s="1">
        <f t="shared" si="1"/>
        <v>4.1666666666666685E-2</v>
      </c>
      <c r="G23" s="38"/>
    </row>
    <row r="24" spans="1:15">
      <c r="B24" s="120"/>
      <c r="C24" s="1"/>
      <c r="D24" s="1"/>
      <c r="E24" s="1">
        <f t="shared" si="0"/>
        <v>0</v>
      </c>
      <c r="F24" s="1">
        <v>0</v>
      </c>
      <c r="G24" s="2"/>
    </row>
    <row r="25" spans="1:15" ht="15.75">
      <c r="B25" t="s">
        <v>26</v>
      </c>
      <c r="C25">
        <f>SUBTOTAL(102,Tabla13040[ENTRADA])</f>
        <v>12</v>
      </c>
      <c r="E25" s="2">
        <f>SUBTOTAL(109,E9:E24)</f>
        <v>5.4645833333333336</v>
      </c>
      <c r="F25" s="2">
        <f>SUBTOTAL(109,Tabla13040[EXTRAS])</f>
        <v>1.3395833333333333</v>
      </c>
      <c r="G25" s="43"/>
    </row>
    <row r="26" spans="1:15" ht="15.75">
      <c r="C26" s="1"/>
      <c r="D26" s="6" t="s">
        <v>37</v>
      </c>
      <c r="E26" s="4">
        <f>Tabla13040[[#Totals],[TOTAL]]-Tabla13040[[#Totals],[EXTRAS]]</f>
        <v>4.125</v>
      </c>
      <c r="F26" s="5" t="s">
        <v>7</v>
      </c>
      <c r="G26" s="43"/>
    </row>
    <row r="27" spans="1:15" ht="15.75">
      <c r="C27" s="1"/>
      <c r="D27" s="7" t="s">
        <v>33</v>
      </c>
      <c r="E27" s="4">
        <v>0</v>
      </c>
      <c r="F27" s="8" t="s">
        <v>7</v>
      </c>
      <c r="G27" s="44"/>
    </row>
    <row r="28" spans="1:15" ht="15.75">
      <c r="D28" s="35" t="s">
        <v>34</v>
      </c>
      <c r="E28" s="27">
        <v>11</v>
      </c>
      <c r="F28" s="27" t="s">
        <v>35</v>
      </c>
      <c r="G28" s="44"/>
    </row>
    <row r="29" spans="1:15">
      <c r="D29" s="36" t="s">
        <v>36</v>
      </c>
      <c r="E29" s="28">
        <v>0</v>
      </c>
      <c r="F29" s="28" t="s">
        <v>35</v>
      </c>
    </row>
    <row r="30" spans="1:15" ht="15.75">
      <c r="A30" s="189" t="s">
        <v>39</v>
      </c>
      <c r="B30" s="160" t="s">
        <v>40</v>
      </c>
      <c r="C30" s="160">
        <v>13</v>
      </c>
      <c r="D30" s="160" t="s">
        <v>40</v>
      </c>
      <c r="E30" s="160" t="s">
        <v>40</v>
      </c>
      <c r="F30" s="160" t="s">
        <v>40</v>
      </c>
      <c r="G30" s="160" t="s">
        <v>40</v>
      </c>
      <c r="H30" s="160" t="s">
        <v>40</v>
      </c>
      <c r="I30" s="160" t="s">
        <v>41</v>
      </c>
      <c r="J30" s="160" t="s">
        <v>40</v>
      </c>
      <c r="K30" s="160" t="s">
        <v>68</v>
      </c>
      <c r="L30" s="190"/>
      <c r="M30" s="160" t="s">
        <v>40</v>
      </c>
      <c r="N30" s="160" t="s">
        <v>40</v>
      </c>
      <c r="O30" s="160" t="s">
        <v>40</v>
      </c>
    </row>
    <row r="31" spans="1:15" ht="36">
      <c r="A31" s="161" t="s">
        <v>69</v>
      </c>
      <c r="B31" s="162" t="s">
        <v>70</v>
      </c>
      <c r="C31" s="162" t="s">
        <v>40</v>
      </c>
      <c r="D31" s="162" t="s">
        <v>71</v>
      </c>
      <c r="E31" s="162" t="s">
        <v>40</v>
      </c>
      <c r="F31" s="162" t="s">
        <v>46</v>
      </c>
      <c r="G31" s="162" t="s">
        <v>72</v>
      </c>
      <c r="H31" s="163">
        <v>0.75347222222222221</v>
      </c>
      <c r="I31" s="163">
        <v>0.70763888888888893</v>
      </c>
      <c r="J31" s="162" t="s">
        <v>73</v>
      </c>
      <c r="K31" s="162" t="s">
        <v>40</v>
      </c>
      <c r="L31" s="162" t="s">
        <v>40</v>
      </c>
      <c r="M31" s="162" t="s">
        <v>74</v>
      </c>
      <c r="N31" s="162" t="s">
        <v>75</v>
      </c>
      <c r="O31" s="163">
        <v>0.29305555555555557</v>
      </c>
    </row>
  </sheetData>
  <mergeCells count="4">
    <mergeCell ref="C4:D4"/>
    <mergeCell ref="H16:K16"/>
    <mergeCell ref="H5:K6"/>
    <mergeCell ref="H21:K22"/>
  </mergeCells>
  <conditionalFormatting sqref="C9">
    <cfRule type="cellIs" dxfId="474" priority="2" operator="greaterThan">
      <formula>0.298611111111111</formula>
    </cfRule>
  </conditionalFormatting>
  <conditionalFormatting sqref="C10:C24">
    <cfRule type="cellIs" dxfId="473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8793-0DFB-4F59-8FCD-387EAE49FC01}">
  <dimension ref="A2:O30"/>
  <sheetViews>
    <sheetView topLeftCell="A5" workbookViewId="0">
      <selection activeCell="J11" sqref="J11"/>
    </sheetView>
  </sheetViews>
  <sheetFormatPr defaultColWidth="11.42578125" defaultRowHeight="15"/>
  <cols>
    <col min="2" max="2" width="34.28515625" bestFit="1" customWidth="1"/>
    <col min="4" max="4" width="19" customWidth="1"/>
    <col min="7" max="7" width="9.140625"/>
    <col min="8" max="8" width="13" bestFit="1" customWidth="1"/>
    <col min="9" max="9" width="14.42578125" bestFit="1" customWidth="1"/>
    <col min="10" max="10" width="14" bestFit="1" customWidth="1"/>
    <col min="11" max="11" width="14.140625" customWidth="1"/>
    <col min="16" max="16" width="16.285156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25"/>
      <c r="D4" s="231"/>
      <c r="H4" s="216" t="s">
        <v>8</v>
      </c>
      <c r="I4" s="217"/>
      <c r="J4" s="217"/>
      <c r="K4" s="218"/>
    </row>
    <row r="5" spans="2:11" ht="15" customHeight="1">
      <c r="B5" s="18" t="s">
        <v>6</v>
      </c>
      <c r="C5" s="19">
        <v>0.375</v>
      </c>
      <c r="D5" s="20" t="s">
        <v>7</v>
      </c>
      <c r="H5" s="219"/>
      <c r="I5" s="220"/>
      <c r="J5" s="220"/>
      <c r="K5" s="221"/>
    </row>
    <row r="6" spans="2:11" ht="15.75">
      <c r="E6" s="23" t="s">
        <v>9</v>
      </c>
      <c r="F6" s="24">
        <f ca="1">TODAY()</f>
        <v>44716</v>
      </c>
      <c r="H6" s="45" t="s">
        <v>10</v>
      </c>
      <c r="I6" s="46" t="s">
        <v>76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44651</v>
      </c>
      <c r="C8" s="83">
        <v>0.29166666666666669</v>
      </c>
      <c r="D8" s="83">
        <v>0.72499999999999998</v>
      </c>
      <c r="E8" s="1">
        <f t="shared" ref="E8:E23" si="0">D8-C8</f>
        <v>0.43333333333333329</v>
      </c>
      <c r="F8" s="1">
        <f>Tabla13034[[#This Row],[TOTAL]]-$C$5</f>
        <v>5.8333333333333293E-2</v>
      </c>
      <c r="H8" t="s">
        <v>7</v>
      </c>
      <c r="I8" s="3">
        <v>5000</v>
      </c>
      <c r="J8" s="57">
        <v>99</v>
      </c>
      <c r="K8" s="3">
        <f>Tabla2314[[#This Row],[VALOR]]*Tabla2314[[#This Row],[CANTIDAD]]</f>
        <v>495000</v>
      </c>
    </row>
    <row r="9" spans="2:11">
      <c r="B9" s="188">
        <v>44652</v>
      </c>
      <c r="C9" s="191">
        <v>0.29166666666666669</v>
      </c>
      <c r="D9" s="191">
        <v>0.70833333333333337</v>
      </c>
      <c r="E9" s="1">
        <v>0.79166666666666663</v>
      </c>
      <c r="F9" s="1">
        <v>0.41666666666666669</v>
      </c>
      <c r="H9" t="s">
        <v>21</v>
      </c>
      <c r="I9" s="3">
        <v>7500</v>
      </c>
      <c r="J9" s="57">
        <v>32</v>
      </c>
      <c r="K9" s="3">
        <f>Tabla2314[[#This Row],[VALOR]]*Tabla2314[[#This Row],[CANTIDAD]]</f>
        <v>240000</v>
      </c>
    </row>
    <row r="10" spans="2:11">
      <c r="B10" s="188">
        <v>44653</v>
      </c>
      <c r="C10" s="191">
        <v>0.29166666666666669</v>
      </c>
      <c r="D10" s="191">
        <v>0.66666666666666663</v>
      </c>
      <c r="E10" s="1">
        <f t="shared" si="0"/>
        <v>0.37499999999999994</v>
      </c>
      <c r="F10" s="1">
        <f>Tabla13034[[#This Row],[TOTAL]]-$C$5</f>
        <v>0</v>
      </c>
      <c r="H10" t="s">
        <v>23</v>
      </c>
      <c r="I10" s="3">
        <v>6000</v>
      </c>
      <c r="J10" s="57">
        <v>12</v>
      </c>
      <c r="K10" s="3">
        <f>Tabla2314[[#This Row],[VALOR]]*Tabla2314[[#This Row],[CANTIDAD]]</f>
        <v>72000</v>
      </c>
    </row>
    <row r="11" spans="2:11">
      <c r="B11" s="85">
        <v>44654</v>
      </c>
      <c r="C11" s="83">
        <v>0.29166666666666669</v>
      </c>
      <c r="D11" s="83">
        <v>0.58333333333333337</v>
      </c>
      <c r="E11" s="1">
        <v>0.25</v>
      </c>
      <c r="F11" s="1">
        <v>0.25</v>
      </c>
      <c r="H11" t="s">
        <v>25</v>
      </c>
      <c r="I11" s="3">
        <v>90000</v>
      </c>
      <c r="J11" s="57">
        <v>1</v>
      </c>
      <c r="K11" s="3">
        <f>Tabla2314[[#This Row],[VALOR]]*Tabla2314[[#This Row],[CANTIDAD]]</f>
        <v>90000</v>
      </c>
    </row>
    <row r="12" spans="2:11">
      <c r="B12" s="119">
        <v>44655</v>
      </c>
      <c r="C12" s="83"/>
      <c r="D12" s="83"/>
      <c r="E12" s="1">
        <f t="shared" si="0"/>
        <v>0</v>
      </c>
      <c r="F12" s="1">
        <v>0</v>
      </c>
      <c r="H12" t="s">
        <v>55</v>
      </c>
      <c r="I12" s="3">
        <v>35000</v>
      </c>
      <c r="J12" s="57">
        <v>1</v>
      </c>
      <c r="K12" s="3">
        <f>Tabla2314[[#This Row],[VALOR]]*Tabla2314[[#This Row],[CANTIDAD]]</f>
        <v>35000</v>
      </c>
    </row>
    <row r="13" spans="2:11">
      <c r="B13" s="120">
        <v>44656</v>
      </c>
      <c r="C13" s="83">
        <v>0.29166666666666669</v>
      </c>
      <c r="D13" s="1">
        <v>0.71875</v>
      </c>
      <c r="E13" s="1">
        <f t="shared" si="0"/>
        <v>0.42708333333333331</v>
      </c>
      <c r="F13" s="1">
        <f>Tabla13034[[#This Row],[TOTAL]]-$C$5</f>
        <v>5.2083333333333315E-2</v>
      </c>
      <c r="I13" s="3"/>
      <c r="J13" s="22"/>
      <c r="K13" s="3">
        <f>Tabla2314[[#This Row],[VALOR]]*Tabla2314[[#This Row],[CANTIDAD]]</f>
        <v>0</v>
      </c>
    </row>
    <row r="14" spans="2:11">
      <c r="B14" s="120">
        <v>44657</v>
      </c>
      <c r="C14" s="83">
        <v>0.29166666666666669</v>
      </c>
      <c r="D14" s="83">
        <v>0.7104166666666667</v>
      </c>
      <c r="E14" s="1">
        <f t="shared" si="0"/>
        <v>0.41875000000000001</v>
      </c>
      <c r="F14" s="1">
        <f>Tabla13034[[#This Row],[TOTAL]]-$C$5</f>
        <v>4.3750000000000011E-2</v>
      </c>
      <c r="H14" t="s">
        <v>26</v>
      </c>
      <c r="J14" s="26"/>
      <c r="K14" s="9">
        <f>SUBTOTAL(109,Tabla2314[SUB TOTAL])</f>
        <v>932000</v>
      </c>
    </row>
    <row r="15" spans="2:11">
      <c r="B15" s="120">
        <v>44658</v>
      </c>
      <c r="C15" s="83">
        <v>0.29166666666666669</v>
      </c>
      <c r="D15" s="83">
        <v>0.70486111111111116</v>
      </c>
      <c r="E15" s="1">
        <f t="shared" si="0"/>
        <v>0.41319444444444448</v>
      </c>
      <c r="F15" s="1">
        <f>Tabla13034[[#This Row],[TOTAL]]-$C$5</f>
        <v>3.8194444444444475E-2</v>
      </c>
      <c r="H15" s="222" t="s">
        <v>27</v>
      </c>
      <c r="I15" s="222"/>
      <c r="J15" s="222"/>
      <c r="K15" s="222"/>
    </row>
    <row r="16" spans="2:11">
      <c r="B16" s="120">
        <v>44659</v>
      </c>
      <c r="C16" s="83">
        <v>0.29166666666666669</v>
      </c>
      <c r="D16" s="83">
        <v>0.71736111111111112</v>
      </c>
      <c r="E16" s="1">
        <f t="shared" si="0"/>
        <v>0.42569444444444443</v>
      </c>
      <c r="F16" s="1">
        <f>Tabla13034[[#This Row],[TOTAL]]-$C$5</f>
        <v>5.0694444444444431E-2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44660</v>
      </c>
      <c r="C17" s="83">
        <v>0.29166666666666669</v>
      </c>
      <c r="D17" s="1">
        <v>0.71944444444444444</v>
      </c>
      <c r="E17" s="1">
        <f t="shared" si="0"/>
        <v>0.42777777777777776</v>
      </c>
      <c r="F17" s="1">
        <f>Tabla13034[[#This Row],[TOTAL]]-$C$5</f>
        <v>5.2777777777777757E-2</v>
      </c>
      <c r="G17" s="1"/>
      <c r="H17" s="10">
        <v>44670</v>
      </c>
      <c r="I17" t="s">
        <v>30</v>
      </c>
      <c r="J17" s="22">
        <v>200000</v>
      </c>
      <c r="K17" s="9">
        <f>Tabla2314[[#Totals],[SUB TOTAL]]-Tabla33210[[#This Row],[CANTIDAD]]</f>
        <v>732000</v>
      </c>
    </row>
    <row r="18" spans="1:15">
      <c r="B18" s="85">
        <v>44661</v>
      </c>
      <c r="C18" s="1">
        <v>0.29166666666666669</v>
      </c>
      <c r="D18" s="1">
        <v>0.4777777777777778</v>
      </c>
      <c r="E18" s="1">
        <f t="shared" si="0"/>
        <v>0.18611111111111112</v>
      </c>
      <c r="F18" s="1">
        <v>0.18611111111111112</v>
      </c>
      <c r="H18" s="10"/>
      <c r="J18" s="21"/>
      <c r="K18" s="9">
        <f>K17-Tabla33210[[#This Row],[CANTIDAD]]</f>
        <v>732000</v>
      </c>
    </row>
    <row r="19" spans="1:15">
      <c r="B19" s="119">
        <v>44662</v>
      </c>
      <c r="C19" s="83"/>
      <c r="D19" s="1"/>
      <c r="E19" s="1">
        <f t="shared" si="0"/>
        <v>0</v>
      </c>
      <c r="F19" s="1">
        <v>0</v>
      </c>
      <c r="H19" s="10"/>
      <c r="J19" s="21"/>
      <c r="K19" s="9">
        <f>K18-Tabla33210[[#This Row],[CANTIDAD]]</f>
        <v>732000</v>
      </c>
    </row>
    <row r="20" spans="1:15">
      <c r="B20" s="120">
        <v>44663</v>
      </c>
      <c r="C20" s="83">
        <v>0.29166666666666669</v>
      </c>
      <c r="D20" s="1">
        <v>0.71527777777777779</v>
      </c>
      <c r="E20" s="1">
        <f t="shared" si="0"/>
        <v>0.4236111111111111</v>
      </c>
      <c r="F20" s="1">
        <f>Tabla13034[[#This Row],[TOTAL]]-$C$5</f>
        <v>4.8611111111111105E-2</v>
      </c>
      <c r="H20" s="224" t="s">
        <v>31</v>
      </c>
      <c r="I20" s="224"/>
      <c r="J20" s="224"/>
      <c r="K20" s="224"/>
    </row>
    <row r="21" spans="1:15">
      <c r="B21" s="120">
        <v>44664</v>
      </c>
      <c r="C21" s="83">
        <v>0.29166666666666669</v>
      </c>
      <c r="D21" s="83">
        <v>0.75555555555555554</v>
      </c>
      <c r="E21" s="1">
        <f t="shared" si="0"/>
        <v>0.46388888888888885</v>
      </c>
      <c r="F21" s="1">
        <f>Tabla13034[[#This Row],[TOTAL]]-$C$5</f>
        <v>8.8888888888888851E-2</v>
      </c>
      <c r="H21" s="224"/>
      <c r="I21" s="224"/>
      <c r="J21" s="224"/>
      <c r="K21" s="224"/>
    </row>
    <row r="22" spans="1:15">
      <c r="B22" s="120">
        <v>44665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>Tabla13034[[#This Row],[TOTAL]]-$C$5</f>
        <v>4.1666666666666685E-2</v>
      </c>
      <c r="G22" s="1"/>
      <c r="H22" s="1"/>
    </row>
    <row r="23" spans="1:15">
      <c r="B23" s="120"/>
      <c r="C23" s="1"/>
      <c r="D23" s="1"/>
      <c r="E23" s="1">
        <f t="shared" si="0"/>
        <v>0</v>
      </c>
      <c r="F23" s="1">
        <v>0</v>
      </c>
    </row>
    <row r="24" spans="1:15">
      <c r="B24" t="s">
        <v>26</v>
      </c>
      <c r="C24">
        <f>SUBTOTAL(102,Tabla13034[ENTRADA])</f>
        <v>13</v>
      </c>
      <c r="E24" s="2">
        <f>SUBTOTAL(109,E8:E23)</f>
        <v>5.4527777777777775</v>
      </c>
      <c r="F24" s="2">
        <f>SUBTOTAL(109,Tabla13034[EXTRAS])</f>
        <v>1.3277777777777777</v>
      </c>
    </row>
    <row r="25" spans="1:15" ht="15.75">
      <c r="C25" s="1"/>
      <c r="D25" s="6" t="s">
        <v>37</v>
      </c>
      <c r="E25" s="4">
        <f>Tabla13034[[#Totals],[TOTAL]]-Tabla13034[[#Totals],[EXTRAS]]</f>
        <v>4.125</v>
      </c>
      <c r="F25" s="5" t="s">
        <v>7</v>
      </c>
    </row>
    <row r="26" spans="1:15" ht="15.75">
      <c r="C26" s="1"/>
      <c r="D26" s="7" t="s">
        <v>33</v>
      </c>
      <c r="E26" s="4">
        <f>Tabla13034[[#Totals],[EXTRAS]]</f>
        <v>1.3277777777777777</v>
      </c>
      <c r="F26" s="8" t="s">
        <v>7</v>
      </c>
    </row>
    <row r="27" spans="1:15" ht="15.75">
      <c r="D27" s="35" t="s">
        <v>34</v>
      </c>
      <c r="E27" s="27">
        <v>11</v>
      </c>
      <c r="F27" s="27" t="s">
        <v>35</v>
      </c>
    </row>
    <row r="28" spans="1:15" ht="15" customHeight="1">
      <c r="D28" s="36" t="s">
        <v>36</v>
      </c>
      <c r="E28" s="28">
        <v>2</v>
      </c>
      <c r="F28" s="28" t="s">
        <v>35</v>
      </c>
    </row>
    <row r="29" spans="1:15" ht="15.75">
      <c r="A29" s="189" t="s">
        <v>39</v>
      </c>
      <c r="B29" s="160" t="s">
        <v>40</v>
      </c>
      <c r="C29" s="160">
        <v>22</v>
      </c>
      <c r="D29" s="160" t="s">
        <v>40</v>
      </c>
      <c r="E29" s="160" t="s">
        <v>40</v>
      </c>
      <c r="F29" s="160" t="s">
        <v>40</v>
      </c>
      <c r="G29" s="160" t="s">
        <v>40</v>
      </c>
      <c r="H29" s="160" t="s">
        <v>40</v>
      </c>
      <c r="I29" s="160" t="s">
        <v>41</v>
      </c>
      <c r="J29" s="160" t="s">
        <v>40</v>
      </c>
      <c r="K29" s="160" t="s">
        <v>76</v>
      </c>
      <c r="L29" s="190"/>
      <c r="M29" s="160" t="s">
        <v>40</v>
      </c>
      <c r="N29" s="160" t="s">
        <v>40</v>
      </c>
      <c r="O29" s="160" t="s">
        <v>40</v>
      </c>
    </row>
    <row r="30" spans="1:15" ht="36">
      <c r="A30" s="161" t="s">
        <v>77</v>
      </c>
      <c r="B30" s="162" t="s">
        <v>78</v>
      </c>
      <c r="C30" s="162" t="s">
        <v>40</v>
      </c>
      <c r="D30" s="163">
        <v>0.5854166666666667</v>
      </c>
      <c r="E30" s="162" t="s">
        <v>40</v>
      </c>
      <c r="F30" s="162" t="s">
        <v>60</v>
      </c>
      <c r="G30" s="162" t="s">
        <v>79</v>
      </c>
      <c r="H30" s="162" t="s">
        <v>80</v>
      </c>
      <c r="I30" s="162" t="s">
        <v>81</v>
      </c>
      <c r="J30" s="162" t="s">
        <v>82</v>
      </c>
      <c r="K30" s="162" t="s">
        <v>83</v>
      </c>
      <c r="L30" s="162" t="s">
        <v>40</v>
      </c>
      <c r="M30" s="162" t="s">
        <v>84</v>
      </c>
      <c r="N30" s="162" t="s">
        <v>67</v>
      </c>
      <c r="O30" s="163">
        <v>0.3</v>
      </c>
    </row>
  </sheetData>
  <mergeCells count="4">
    <mergeCell ref="H20:K21"/>
    <mergeCell ref="C4:D4"/>
    <mergeCell ref="H4:K5"/>
    <mergeCell ref="H15:K15"/>
  </mergeCells>
  <conditionalFormatting sqref="C8">
    <cfRule type="cellIs" dxfId="462" priority="2" operator="greaterThan">
      <formula>0.298611111111111</formula>
    </cfRule>
  </conditionalFormatting>
  <conditionalFormatting sqref="C9:C23">
    <cfRule type="cellIs" dxfId="461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A21D-5EF7-41B2-AD9F-B017FA315B4F}">
  <dimension ref="A1:O29"/>
  <sheetViews>
    <sheetView topLeftCell="A5" workbookViewId="0">
      <selection activeCell="J18" sqref="J18"/>
    </sheetView>
  </sheetViews>
  <sheetFormatPr defaultColWidth="11.42578125" defaultRowHeight="15"/>
  <cols>
    <col min="2" max="2" width="34.28515625" bestFit="1" customWidth="1"/>
    <col min="4" max="4" width="18" bestFit="1" customWidth="1"/>
    <col min="8" max="8" width="13" bestFit="1" customWidth="1"/>
    <col min="9" max="9" width="13.5703125" bestFit="1" customWidth="1"/>
    <col min="10" max="10" width="11.5703125" bestFit="1" customWidth="1"/>
    <col min="11" max="11" width="15" customWidth="1"/>
    <col min="16" max="16" width="14.140625" customWidth="1"/>
  </cols>
  <sheetData>
    <row r="1" spans="2:11" ht="21.75" customHeight="1" thickBot="1"/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25"/>
      <c r="D4" s="231"/>
      <c r="H4" s="216" t="s">
        <v>8</v>
      </c>
      <c r="I4" s="217"/>
      <c r="J4" s="217"/>
      <c r="K4" s="218"/>
    </row>
    <row r="5" spans="2:11" ht="15" customHeight="1">
      <c r="B5" s="18" t="s">
        <v>6</v>
      </c>
      <c r="C5" s="19">
        <v>0.375</v>
      </c>
      <c r="D5" s="20" t="s">
        <v>7</v>
      </c>
      <c r="H5" s="219"/>
      <c r="I5" s="220"/>
      <c r="J5" s="220"/>
      <c r="K5" s="221"/>
    </row>
    <row r="6" spans="2:11" ht="15.75">
      <c r="E6" s="23" t="s">
        <v>9</v>
      </c>
      <c r="F6" s="24">
        <f ca="1">TODAY()</f>
        <v>44716</v>
      </c>
      <c r="H6" s="45" t="s">
        <v>10</v>
      </c>
      <c r="I6" s="46" t="s">
        <v>85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44651</v>
      </c>
      <c r="C8" s="83">
        <v>0.29166666666666669</v>
      </c>
      <c r="D8" s="83">
        <v>0.72361111111111109</v>
      </c>
      <c r="E8" s="1">
        <f t="shared" ref="E8:E23" si="0">D8-C8</f>
        <v>0.43194444444444441</v>
      </c>
      <c r="F8" s="1">
        <f t="shared" ref="F8:F23" si="1">E8-$C$5</f>
        <v>5.6944444444444409E-2</v>
      </c>
      <c r="G8" s="1"/>
      <c r="H8" t="s">
        <v>20</v>
      </c>
      <c r="I8" s="3">
        <v>5000</v>
      </c>
      <c r="J8" s="22">
        <v>99</v>
      </c>
      <c r="K8" s="3">
        <f>Tabla23141114[[#This Row],[VALOR]]*Tabla23141114[[#This Row],[CANTIDAD]]</f>
        <v>495000</v>
      </c>
    </row>
    <row r="9" spans="2:11">
      <c r="B9" s="188">
        <v>44652</v>
      </c>
      <c r="C9" s="191">
        <v>0.23541666666666666</v>
      </c>
      <c r="D9" s="191">
        <v>0.71875</v>
      </c>
      <c r="E9" s="1">
        <v>0.85833333333333328</v>
      </c>
      <c r="F9" s="1">
        <v>0.48333333333333334</v>
      </c>
      <c r="G9" s="1"/>
      <c r="H9" t="s">
        <v>21</v>
      </c>
      <c r="I9" s="3">
        <v>7500</v>
      </c>
      <c r="J9" s="22">
        <v>30</v>
      </c>
      <c r="K9" s="3">
        <f>Tabla23141114[[#This Row],[VALOR]]*Tabla23141114[[#This Row],[CANTIDAD]]</f>
        <v>225000</v>
      </c>
    </row>
    <row r="10" spans="2:11">
      <c r="B10" s="188">
        <v>44653</v>
      </c>
      <c r="C10" s="191">
        <v>0.29166666666666669</v>
      </c>
      <c r="D10" s="191">
        <v>0.66666666666666663</v>
      </c>
      <c r="E10" s="1">
        <f t="shared" si="0"/>
        <v>0.37499999999999994</v>
      </c>
      <c r="F10" s="1">
        <f t="shared" si="1"/>
        <v>0</v>
      </c>
      <c r="G10" s="1"/>
      <c r="H10" t="s">
        <v>23</v>
      </c>
      <c r="I10" s="3">
        <v>6000</v>
      </c>
      <c r="J10" s="22">
        <v>11</v>
      </c>
      <c r="K10" s="3">
        <f>Tabla23141114[[#This Row],[VALOR]]*Tabla23141114[[#This Row],[CANTIDAD]]</f>
        <v>66000</v>
      </c>
    </row>
    <row r="11" spans="2:11">
      <c r="B11" s="85">
        <v>44654</v>
      </c>
      <c r="C11" s="83"/>
      <c r="D11" s="83"/>
      <c r="E11" s="1">
        <f t="shared" si="0"/>
        <v>0</v>
      </c>
      <c r="F11" s="1">
        <v>0</v>
      </c>
      <c r="G11" s="1"/>
      <c r="H11" t="s">
        <v>25</v>
      </c>
      <c r="I11" s="3">
        <v>70000</v>
      </c>
      <c r="J11" s="86">
        <v>1</v>
      </c>
      <c r="K11" s="3">
        <f>Tabla23141114[[#This Row],[VALOR]]*Tabla23141114[[#This Row],[CANTIDAD]]</f>
        <v>70000</v>
      </c>
    </row>
    <row r="12" spans="2:11">
      <c r="B12" s="119">
        <v>44655</v>
      </c>
      <c r="C12" s="83"/>
      <c r="D12" s="83"/>
      <c r="E12" s="1">
        <f t="shared" si="0"/>
        <v>0</v>
      </c>
      <c r="F12" s="1">
        <v>0</v>
      </c>
      <c r="G12" s="1"/>
      <c r="H12" t="s">
        <v>24</v>
      </c>
      <c r="I12" s="3">
        <v>35000</v>
      </c>
      <c r="J12" s="22">
        <v>1</v>
      </c>
      <c r="K12" s="3">
        <f>Tabla23141114[[#This Row],[VALOR]]*Tabla23141114[[#This Row],[CANTIDAD]]</f>
        <v>35000</v>
      </c>
    </row>
    <row r="13" spans="2:11">
      <c r="B13" s="120">
        <v>44656</v>
      </c>
      <c r="C13" s="83">
        <v>0.29166666666666669</v>
      </c>
      <c r="D13" s="1">
        <v>0.66111111111111109</v>
      </c>
      <c r="E13" s="1">
        <f t="shared" si="0"/>
        <v>0.36944444444444441</v>
      </c>
      <c r="F13" s="1">
        <f t="shared" si="1"/>
        <v>-5.5555555555555913E-3</v>
      </c>
      <c r="G13" s="1"/>
      <c r="I13" s="3"/>
      <c r="J13" s="22"/>
      <c r="K13" s="3">
        <f>Tabla23141114[[#This Row],[VALOR]]*Tabla23141114[[#This Row],[CANTIDAD]]</f>
        <v>0</v>
      </c>
    </row>
    <row r="14" spans="2:11">
      <c r="B14" s="120">
        <v>44657</v>
      </c>
      <c r="C14" s="83">
        <v>0.29166666666666669</v>
      </c>
      <c r="D14" s="83">
        <v>0.75555555555555554</v>
      </c>
      <c r="E14" s="1">
        <f t="shared" si="0"/>
        <v>0.46388888888888885</v>
      </c>
      <c r="F14" s="1">
        <f t="shared" si="1"/>
        <v>8.8888888888888851E-2</v>
      </c>
      <c r="G14" s="1"/>
      <c r="H14" t="s">
        <v>26</v>
      </c>
      <c r="J14" s="26"/>
      <c r="K14" s="9">
        <f>SUBTOTAL(109,Tabla23141114[SUB TOTAL])</f>
        <v>891000</v>
      </c>
    </row>
    <row r="15" spans="2:11">
      <c r="B15" s="120">
        <v>44658</v>
      </c>
      <c r="C15" s="83">
        <v>0.29166666666666669</v>
      </c>
      <c r="D15" s="83">
        <v>0.79652777777777772</v>
      </c>
      <c r="E15" s="1">
        <f t="shared" si="0"/>
        <v>0.50486111111111098</v>
      </c>
      <c r="F15" s="1">
        <f t="shared" si="1"/>
        <v>0.12986111111111098</v>
      </c>
      <c r="H15" s="222" t="s">
        <v>27</v>
      </c>
      <c r="I15" s="222"/>
      <c r="J15" s="222"/>
      <c r="K15" s="222"/>
    </row>
    <row r="16" spans="2:11">
      <c r="B16" s="120">
        <v>44659</v>
      </c>
      <c r="C16" s="83">
        <v>0.29166666666666669</v>
      </c>
      <c r="D16" s="83">
        <v>0.70833333333333337</v>
      </c>
      <c r="E16" s="1">
        <f t="shared" si="0"/>
        <v>0.41666666666666669</v>
      </c>
      <c r="F16" s="1">
        <f t="shared" si="1"/>
        <v>4.1666666666666685E-2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44660</v>
      </c>
      <c r="C17" s="83">
        <v>0.29166666666666669</v>
      </c>
      <c r="D17" s="1">
        <v>0.74236111111111114</v>
      </c>
      <c r="E17" s="1">
        <f t="shared" si="0"/>
        <v>0.45069444444444445</v>
      </c>
      <c r="F17" s="1">
        <f t="shared" si="1"/>
        <v>7.5694444444444453E-2</v>
      </c>
      <c r="H17" s="10">
        <v>44670</v>
      </c>
      <c r="I17" t="s">
        <v>30</v>
      </c>
      <c r="J17" s="22">
        <v>150000</v>
      </c>
      <c r="K17" s="9">
        <f>Tabla23141114[[#Totals],[SUB TOTAL]]-Tabla332101315[[#This Row],[CANTIDAD]]</f>
        <v>741000</v>
      </c>
    </row>
    <row r="18" spans="1:15">
      <c r="B18" s="85">
        <v>44661</v>
      </c>
      <c r="C18" s="1">
        <v>0.30069444444444443</v>
      </c>
      <c r="D18" s="1">
        <v>0.47916666666666669</v>
      </c>
      <c r="E18" s="1">
        <f t="shared" si="0"/>
        <v>0.17847222222222225</v>
      </c>
      <c r="F18" s="1">
        <v>0.17847222222222223</v>
      </c>
      <c r="H18" s="10"/>
      <c r="J18" s="21"/>
      <c r="K18" s="9">
        <f>K17-Tabla332101315[[#This Row],[CANTIDAD]]</f>
        <v>741000</v>
      </c>
    </row>
    <row r="19" spans="1:15">
      <c r="B19" s="119">
        <v>44662</v>
      </c>
      <c r="C19" s="83"/>
      <c r="D19" s="1"/>
      <c r="E19" s="1">
        <f t="shared" si="0"/>
        <v>0</v>
      </c>
      <c r="F19" s="1">
        <v>0</v>
      </c>
      <c r="H19" s="10"/>
      <c r="J19" s="21"/>
      <c r="K19" s="9">
        <f>K18-Tabla332101315[[#This Row],[CANTIDAD]]</f>
        <v>741000</v>
      </c>
    </row>
    <row r="20" spans="1:15">
      <c r="B20" s="120">
        <v>44663</v>
      </c>
      <c r="C20" s="83">
        <v>0.29166666666666669</v>
      </c>
      <c r="D20" s="1">
        <v>0.71597222222222223</v>
      </c>
      <c r="E20" s="1">
        <f t="shared" si="0"/>
        <v>0.42430555555555555</v>
      </c>
      <c r="F20" s="1">
        <f t="shared" si="1"/>
        <v>4.9305555555555547E-2</v>
      </c>
      <c r="H20" s="224" t="s">
        <v>31</v>
      </c>
      <c r="I20" s="224"/>
      <c r="J20" s="224"/>
      <c r="K20" s="224"/>
    </row>
    <row r="21" spans="1:15">
      <c r="B21" s="120">
        <v>44664</v>
      </c>
      <c r="C21" s="83">
        <v>0.29166666666666669</v>
      </c>
      <c r="D21" s="83">
        <v>0.77013888888888893</v>
      </c>
      <c r="E21" s="1">
        <f t="shared" si="0"/>
        <v>0.47847222222222224</v>
      </c>
      <c r="F21" s="1">
        <f t="shared" si="1"/>
        <v>0.10347222222222224</v>
      </c>
      <c r="H21" s="224"/>
      <c r="I21" s="224"/>
      <c r="J21" s="224"/>
      <c r="K21" s="224"/>
    </row>
    <row r="22" spans="1:15">
      <c r="B22" s="120">
        <v>44665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 t="shared" si="1"/>
        <v>4.1666666666666685E-2</v>
      </c>
    </row>
    <row r="23" spans="1:15">
      <c r="B23" s="120"/>
      <c r="C23" s="1"/>
      <c r="D23" s="1"/>
      <c r="E23" s="1">
        <f t="shared" si="0"/>
        <v>0</v>
      </c>
      <c r="F23" s="1">
        <v>0</v>
      </c>
    </row>
    <row r="24" spans="1:15">
      <c r="B24" t="s">
        <v>26</v>
      </c>
      <c r="E24" s="2">
        <f>SUBTOTAL(109,E8:E23)</f>
        <v>5.3687499999999995</v>
      </c>
      <c r="F24" s="2">
        <f>SUBTOTAL(109,Tabla13037[EXTRAS])</f>
        <v>1.2437499999999997</v>
      </c>
      <c r="H24" s="1"/>
    </row>
    <row r="25" spans="1:15" ht="15.75">
      <c r="C25" s="1"/>
      <c r="D25" s="6" t="s">
        <v>37</v>
      </c>
      <c r="E25" s="4">
        <f>Tabla13037[[#Totals],[TOTAL]]-Tabla13037[[#Totals],[EXTRAS]]</f>
        <v>4.125</v>
      </c>
      <c r="F25" s="5" t="s">
        <v>7</v>
      </c>
    </row>
    <row r="26" spans="1:15" ht="15.75">
      <c r="C26" s="1"/>
      <c r="D26" s="7" t="s">
        <v>33</v>
      </c>
      <c r="E26" s="4">
        <f>Tabla13037[[#Totals],[EXTRAS]]</f>
        <v>1.2437499999999997</v>
      </c>
      <c r="F26" s="8" t="s">
        <v>7</v>
      </c>
    </row>
    <row r="27" spans="1:15" ht="15.75">
      <c r="D27" s="35" t="s">
        <v>34</v>
      </c>
      <c r="E27" s="27">
        <v>11</v>
      </c>
      <c r="F27" s="27" t="s">
        <v>35</v>
      </c>
    </row>
    <row r="28" spans="1:15" ht="15.75">
      <c r="A28" s="189" t="s">
        <v>39</v>
      </c>
      <c r="B28" s="160" t="s">
        <v>40</v>
      </c>
      <c r="C28" s="160">
        <v>25</v>
      </c>
      <c r="D28" s="160" t="s">
        <v>40</v>
      </c>
      <c r="E28" s="160" t="s">
        <v>40</v>
      </c>
      <c r="F28" s="160" t="s">
        <v>40</v>
      </c>
      <c r="G28" s="160" t="s">
        <v>40</v>
      </c>
      <c r="H28" s="160" t="s">
        <v>40</v>
      </c>
      <c r="I28" s="160" t="s">
        <v>41</v>
      </c>
      <c r="J28" s="160" t="s">
        <v>40</v>
      </c>
      <c r="K28" s="160" t="s">
        <v>85</v>
      </c>
      <c r="L28" s="190"/>
      <c r="M28" s="160" t="s">
        <v>40</v>
      </c>
      <c r="N28" s="160" t="s">
        <v>40</v>
      </c>
      <c r="O28" s="160" t="s">
        <v>40</v>
      </c>
    </row>
    <row r="29" spans="1:15" ht="24">
      <c r="A29" s="161" t="s">
        <v>86</v>
      </c>
      <c r="B29" s="162" t="s">
        <v>87</v>
      </c>
      <c r="C29" s="162" t="s">
        <v>40</v>
      </c>
      <c r="D29" s="162" t="s">
        <v>40</v>
      </c>
      <c r="E29" s="162" t="s">
        <v>40</v>
      </c>
      <c r="F29" s="162" t="s">
        <v>88</v>
      </c>
      <c r="G29" s="162" t="s">
        <v>89</v>
      </c>
      <c r="H29" s="162" t="s">
        <v>90</v>
      </c>
      <c r="I29" s="163">
        <v>0.70833333333333337</v>
      </c>
      <c r="J29" s="162" t="s">
        <v>91</v>
      </c>
      <c r="K29" s="163">
        <v>0.30069444444444443</v>
      </c>
      <c r="L29" s="162" t="s">
        <v>40</v>
      </c>
      <c r="M29" s="163">
        <v>0.71597222222222223</v>
      </c>
      <c r="N29" s="162" t="s">
        <v>52</v>
      </c>
      <c r="O29" s="163">
        <v>0.29305555555555557</v>
      </c>
    </row>
  </sheetData>
  <mergeCells count="4">
    <mergeCell ref="H20:K21"/>
    <mergeCell ref="C4:D4"/>
    <mergeCell ref="H4:K5"/>
    <mergeCell ref="H15:K15"/>
  </mergeCells>
  <conditionalFormatting sqref="C8">
    <cfRule type="cellIs" dxfId="449" priority="2" operator="greaterThan">
      <formula>0.298611111111111</formula>
    </cfRule>
  </conditionalFormatting>
  <conditionalFormatting sqref="C9:C23">
    <cfRule type="cellIs" dxfId="448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B89D-96A8-4CBD-9C68-AAAB3A77EEA1}">
  <dimension ref="A1:O30"/>
  <sheetViews>
    <sheetView topLeftCell="A5" workbookViewId="0">
      <selection activeCell="J11" sqref="J11"/>
    </sheetView>
  </sheetViews>
  <sheetFormatPr defaultColWidth="11.42578125" defaultRowHeight="15"/>
  <cols>
    <col min="2" max="2" width="34.28515625" bestFit="1" customWidth="1"/>
    <col min="4" max="4" width="18" bestFit="1" customWidth="1"/>
    <col min="5" max="5" width="11.7109375" bestFit="1" customWidth="1"/>
    <col min="8" max="8" width="13" bestFit="1" customWidth="1"/>
    <col min="9" max="9" width="13.28515625" customWidth="1"/>
    <col min="11" max="11" width="15.85546875" customWidth="1"/>
    <col min="13" max="13" width="16" customWidth="1"/>
    <col min="14" max="14" width="14.42578125" customWidth="1"/>
    <col min="15" max="15" width="14.85546875" customWidth="1"/>
    <col min="16" max="16" width="19.5703125" customWidth="1"/>
  </cols>
  <sheetData>
    <row r="1" spans="2:11">
      <c r="J1" s="21"/>
    </row>
    <row r="2" spans="2:11" ht="15.75">
      <c r="B2" s="11" t="s">
        <v>0</v>
      </c>
      <c r="C2" s="12" t="s">
        <v>1</v>
      </c>
      <c r="D2" s="13" t="s">
        <v>2</v>
      </c>
      <c r="J2" s="21"/>
    </row>
    <row r="3" spans="2:11">
      <c r="B3" s="14" t="s">
        <v>3</v>
      </c>
      <c r="C3" s="15"/>
      <c r="D3" s="16"/>
      <c r="J3" s="21"/>
    </row>
    <row r="4" spans="2:11">
      <c r="B4" s="17" t="s">
        <v>4</v>
      </c>
      <c r="C4" s="225" t="s">
        <v>92</v>
      </c>
      <c r="D4" s="231"/>
      <c r="H4" s="216" t="s">
        <v>93</v>
      </c>
      <c r="I4" s="217"/>
      <c r="J4" s="217"/>
      <c r="K4" s="218"/>
    </row>
    <row r="5" spans="2:11">
      <c r="B5" s="18" t="s">
        <v>6</v>
      </c>
      <c r="C5" s="19">
        <v>0.375</v>
      </c>
      <c r="D5" s="20" t="s">
        <v>7</v>
      </c>
      <c r="H5" s="219"/>
      <c r="I5" s="220"/>
      <c r="J5" s="220"/>
      <c r="K5" s="221"/>
    </row>
    <row r="6" spans="2:11" ht="15.75">
      <c r="E6" s="23" t="s">
        <v>9</v>
      </c>
      <c r="F6" s="24">
        <f ca="1">TODAY()</f>
        <v>44716</v>
      </c>
      <c r="H6" s="45" t="s">
        <v>10</v>
      </c>
      <c r="I6" s="46" t="s">
        <v>92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44651</v>
      </c>
      <c r="C8" s="83">
        <v>0.29166666666666669</v>
      </c>
      <c r="D8" s="83">
        <v>0.70625000000000004</v>
      </c>
      <c r="E8" s="1">
        <f t="shared" ref="E8:E23" si="0">D8-C8</f>
        <v>0.41458333333333336</v>
      </c>
      <c r="F8" s="1">
        <f t="shared" ref="F8:F23" si="1">E8-$C$5</f>
        <v>3.9583333333333359E-2</v>
      </c>
      <c r="H8" t="s">
        <v>20</v>
      </c>
      <c r="I8" s="3">
        <v>4500</v>
      </c>
      <c r="J8" s="22">
        <v>99</v>
      </c>
      <c r="K8" s="3">
        <f>Tabla231[[#This Row],[VALOR]]*Tabla231[[#This Row],[CANTIDAD]]</f>
        <v>445500</v>
      </c>
    </row>
    <row r="9" spans="2:11">
      <c r="B9" s="188">
        <v>44652</v>
      </c>
      <c r="C9" s="191">
        <v>0.29166666666666669</v>
      </c>
      <c r="D9" s="191">
        <v>0.63055555555555554</v>
      </c>
      <c r="E9" s="1">
        <v>0.71388888888888891</v>
      </c>
      <c r="F9" s="1">
        <v>0.33888888888888891</v>
      </c>
      <c r="H9" t="s">
        <v>21</v>
      </c>
      <c r="I9" s="3">
        <v>6750</v>
      </c>
      <c r="J9" s="22">
        <v>17</v>
      </c>
      <c r="K9" s="3">
        <f>Tabla231[[#This Row],[VALOR]]*Tabla231[[#This Row],[CANTIDAD]]</f>
        <v>114750</v>
      </c>
    </row>
    <row r="10" spans="2:11">
      <c r="B10" s="188">
        <v>44653</v>
      </c>
      <c r="C10" s="191">
        <v>0.29166666666666669</v>
      </c>
      <c r="D10" s="191">
        <v>0.66666666666666663</v>
      </c>
      <c r="E10" s="1">
        <f t="shared" si="0"/>
        <v>0.37499999999999994</v>
      </c>
      <c r="F10" s="1">
        <f t="shared" si="1"/>
        <v>0</v>
      </c>
      <c r="H10" t="s">
        <v>23</v>
      </c>
      <c r="I10" s="3">
        <v>6000</v>
      </c>
      <c r="J10" s="22">
        <v>10</v>
      </c>
      <c r="K10" s="3">
        <f>Tabla231[[#This Row],[VALOR]]*Tabla231[[#This Row],[CANTIDAD]]</f>
        <v>60000</v>
      </c>
    </row>
    <row r="11" spans="2:11">
      <c r="B11" s="85">
        <v>44654</v>
      </c>
      <c r="C11" s="83"/>
      <c r="D11" s="83"/>
      <c r="E11" s="1">
        <f t="shared" si="0"/>
        <v>0</v>
      </c>
      <c r="F11" s="1">
        <v>0</v>
      </c>
      <c r="H11" t="s">
        <v>25</v>
      </c>
      <c r="I11" s="3">
        <v>70000</v>
      </c>
      <c r="J11" s="89">
        <v>1</v>
      </c>
      <c r="K11" s="3">
        <f>Tabla231[[#This Row],[VALOR]]*Tabla231[[#This Row],[CANTIDAD]]</f>
        <v>70000</v>
      </c>
    </row>
    <row r="12" spans="2:11">
      <c r="B12" s="119">
        <v>44655</v>
      </c>
      <c r="C12" s="83"/>
      <c r="D12" s="83"/>
      <c r="E12" s="1">
        <f t="shared" si="0"/>
        <v>0</v>
      </c>
      <c r="F12" s="1">
        <v>0</v>
      </c>
      <c r="I12" s="3"/>
      <c r="J12" s="22"/>
      <c r="K12" s="3">
        <f>Tabla231[[#This Row],[VALOR]]*Tabla231[[#This Row],[CANTIDAD]]</f>
        <v>0</v>
      </c>
    </row>
    <row r="13" spans="2:11">
      <c r="B13" s="120">
        <v>44656</v>
      </c>
      <c r="C13" s="83">
        <v>0.29166666666666669</v>
      </c>
      <c r="D13" s="1">
        <v>0.70416666666666672</v>
      </c>
      <c r="E13" s="1">
        <f t="shared" si="0"/>
        <v>0.41250000000000003</v>
      </c>
      <c r="F13" s="1">
        <f t="shared" si="1"/>
        <v>3.7500000000000033E-2</v>
      </c>
      <c r="H13" t="s">
        <v>26</v>
      </c>
      <c r="J13" s="26"/>
      <c r="K13" s="9">
        <f>SUBTOTAL(109,Tabla231[SUB TOTAL])</f>
        <v>690250</v>
      </c>
    </row>
    <row r="14" spans="2:11">
      <c r="B14" s="120">
        <v>44657</v>
      </c>
      <c r="C14" s="83">
        <v>0.29166666666666669</v>
      </c>
      <c r="D14" s="83">
        <v>0.70486111111111116</v>
      </c>
      <c r="E14" s="1">
        <f t="shared" si="0"/>
        <v>0.41319444444444448</v>
      </c>
      <c r="F14" s="1">
        <f t="shared" si="1"/>
        <v>3.8194444444444475E-2</v>
      </c>
      <c r="H14" s="222" t="s">
        <v>27</v>
      </c>
      <c r="I14" s="222"/>
      <c r="J14" s="222"/>
      <c r="K14" s="222"/>
    </row>
    <row r="15" spans="2:11">
      <c r="B15" s="120">
        <v>44658</v>
      </c>
      <c r="C15" s="83">
        <v>0.29166666666666669</v>
      </c>
      <c r="D15" s="83">
        <v>0.70486111111111116</v>
      </c>
      <c r="E15" s="1">
        <f t="shared" si="0"/>
        <v>0.41319444444444448</v>
      </c>
      <c r="F15" s="1">
        <f t="shared" si="1"/>
        <v>3.8194444444444475E-2</v>
      </c>
      <c r="H15" t="s">
        <v>11</v>
      </c>
      <c r="I15" s="3" t="s">
        <v>16</v>
      </c>
      <c r="J15" s="22" t="s">
        <v>18</v>
      </c>
      <c r="K15" t="s">
        <v>14</v>
      </c>
    </row>
    <row r="16" spans="2:11">
      <c r="B16" s="120">
        <v>44659</v>
      </c>
      <c r="C16" s="83">
        <v>0.29166666666666669</v>
      </c>
      <c r="D16" s="83">
        <v>0.70416666666666672</v>
      </c>
      <c r="E16" s="1">
        <f t="shared" si="0"/>
        <v>0.41250000000000003</v>
      </c>
      <c r="F16" s="1">
        <f t="shared" si="1"/>
        <v>3.7500000000000033E-2</v>
      </c>
      <c r="H16" s="10"/>
      <c r="J16" s="22"/>
      <c r="K16" s="9">
        <f>Tabla231[[#Totals],[SUB TOTAL]]-Tabla332[[#This Row],[CANTIDAD]]</f>
        <v>690250</v>
      </c>
    </row>
    <row r="17" spans="1:15">
      <c r="B17" s="120">
        <v>44660</v>
      </c>
      <c r="C17" s="83">
        <v>0.29166666666666669</v>
      </c>
      <c r="D17" s="1">
        <v>0.7055555555555556</v>
      </c>
      <c r="E17" s="1">
        <f t="shared" si="0"/>
        <v>0.41388888888888892</v>
      </c>
      <c r="F17" s="1">
        <f t="shared" si="1"/>
        <v>3.8888888888888917E-2</v>
      </c>
      <c r="H17" s="10"/>
      <c r="J17" s="21"/>
      <c r="K17" s="9">
        <f>K16-Tabla332[[#This Row],[CANTIDAD]]</f>
        <v>690250</v>
      </c>
    </row>
    <row r="18" spans="1:15">
      <c r="B18" s="85">
        <v>44661</v>
      </c>
      <c r="C18" s="1"/>
      <c r="D18" s="1"/>
      <c r="E18" s="1">
        <f t="shared" si="0"/>
        <v>0</v>
      </c>
      <c r="F18" s="1">
        <v>0</v>
      </c>
      <c r="H18" s="10"/>
      <c r="J18" s="21"/>
      <c r="K18" s="9">
        <f>K17-Tabla332[[#This Row],[CANTIDAD]]</f>
        <v>690250</v>
      </c>
    </row>
    <row r="19" spans="1:15">
      <c r="B19" s="119">
        <v>44662</v>
      </c>
      <c r="C19" s="83"/>
      <c r="D19" s="1"/>
      <c r="E19" s="1">
        <f t="shared" si="0"/>
        <v>0</v>
      </c>
      <c r="F19" s="1">
        <v>0</v>
      </c>
      <c r="H19" s="224" t="s">
        <v>31</v>
      </c>
      <c r="I19" s="224"/>
      <c r="J19" s="224"/>
      <c r="K19" s="224"/>
    </row>
    <row r="20" spans="1:15">
      <c r="B20" s="120">
        <v>44663</v>
      </c>
      <c r="C20" s="83">
        <v>0.29166666666666669</v>
      </c>
      <c r="D20" s="1">
        <v>0.70486111111111116</v>
      </c>
      <c r="E20" s="1">
        <f t="shared" si="0"/>
        <v>0.41319444444444448</v>
      </c>
      <c r="F20" s="1">
        <f t="shared" si="1"/>
        <v>3.8194444444444475E-2</v>
      </c>
      <c r="H20" s="224"/>
      <c r="I20" s="224"/>
      <c r="J20" s="224"/>
      <c r="K20" s="224"/>
    </row>
    <row r="21" spans="1:15">
      <c r="B21" s="120">
        <v>44664</v>
      </c>
      <c r="C21" s="83">
        <v>0.29166666666666669</v>
      </c>
      <c r="D21" s="83">
        <v>0.74652777777777779</v>
      </c>
      <c r="E21" s="1">
        <f t="shared" si="0"/>
        <v>0.4548611111111111</v>
      </c>
      <c r="F21" s="1">
        <f t="shared" si="1"/>
        <v>7.9861111111111105E-2</v>
      </c>
      <c r="H21" s="232"/>
      <c r="I21" s="232"/>
      <c r="J21" s="232"/>
      <c r="K21" s="232"/>
    </row>
    <row r="22" spans="1:15">
      <c r="B22" s="120">
        <v>44665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 t="shared" si="1"/>
        <v>4.1666666666666685E-2</v>
      </c>
      <c r="H22" s="232"/>
      <c r="I22" s="232"/>
      <c r="J22" s="232"/>
      <c r="K22" s="232"/>
    </row>
    <row r="23" spans="1:15">
      <c r="B23" s="120"/>
      <c r="C23" s="1"/>
      <c r="D23" s="1"/>
      <c r="E23" s="1">
        <f t="shared" si="0"/>
        <v>0</v>
      </c>
      <c r="F23" s="1">
        <v>0</v>
      </c>
      <c r="J23" s="21"/>
    </row>
    <row r="24" spans="1:15">
      <c r="B24" t="s">
        <v>26</v>
      </c>
      <c r="C24">
        <f>SUBTOTAL(102,Tabla130[ENTRADA])</f>
        <v>11</v>
      </c>
      <c r="E24" s="2">
        <f>SUBTOTAL(109,E8:E23)</f>
        <v>4.8534722222222229</v>
      </c>
      <c r="F24" s="2">
        <f>SUBTOTAL(109,F8:F23)</f>
        <v>0.72847222222222263</v>
      </c>
      <c r="J24" s="21"/>
    </row>
    <row r="25" spans="1:15" ht="15.75">
      <c r="C25" s="1"/>
      <c r="D25" s="6" t="s">
        <v>37</v>
      </c>
      <c r="E25" s="4">
        <f>Tabla130[[#Totals],[TOTAL]]-Tabla130[[#Totals],[EXTRAS]]</f>
        <v>4.125</v>
      </c>
      <c r="F25" s="5" t="s">
        <v>7</v>
      </c>
      <c r="J25" s="21"/>
    </row>
    <row r="26" spans="1:15" ht="15.75">
      <c r="C26" s="1"/>
      <c r="D26" s="7" t="s">
        <v>33</v>
      </c>
      <c r="E26" s="4">
        <f>Tabla130[[#Totals],[EXTRAS]]</f>
        <v>0.72847222222222263</v>
      </c>
      <c r="F26" s="8" t="s">
        <v>7</v>
      </c>
      <c r="J26" s="21"/>
    </row>
    <row r="27" spans="1:15" ht="15.75">
      <c r="D27" s="35" t="s">
        <v>34</v>
      </c>
      <c r="E27" s="27">
        <v>11</v>
      </c>
      <c r="F27" s="27" t="s">
        <v>35</v>
      </c>
      <c r="J27" s="21"/>
    </row>
    <row r="28" spans="1:15" ht="15.75">
      <c r="D28" s="36" t="s">
        <v>36</v>
      </c>
      <c r="E28" s="28">
        <v>2</v>
      </c>
      <c r="F28" s="28" t="s">
        <v>35</v>
      </c>
      <c r="H28" s="82"/>
      <c r="I28" s="82"/>
      <c r="J28" s="82"/>
      <c r="K28" s="82"/>
    </row>
    <row r="29" spans="1:15" ht="15.75">
      <c r="A29" s="189" t="s">
        <v>39</v>
      </c>
      <c r="B29" s="160" t="s">
        <v>40</v>
      </c>
      <c r="C29" s="160">
        <v>190</v>
      </c>
      <c r="D29" s="160" t="s">
        <v>40</v>
      </c>
      <c r="E29" s="160" t="s">
        <v>40</v>
      </c>
      <c r="F29" s="160" t="s">
        <v>40</v>
      </c>
      <c r="G29" s="160" t="s">
        <v>40</v>
      </c>
      <c r="H29" s="160" t="s">
        <v>40</v>
      </c>
      <c r="I29" s="160" t="s">
        <v>41</v>
      </c>
      <c r="J29" s="160" t="s">
        <v>40</v>
      </c>
      <c r="K29" s="160" t="s">
        <v>92</v>
      </c>
      <c r="L29" s="190"/>
      <c r="M29" s="160" t="s">
        <v>40</v>
      </c>
      <c r="N29" s="160" t="s">
        <v>40</v>
      </c>
      <c r="O29" s="160" t="s">
        <v>40</v>
      </c>
    </row>
    <row r="30" spans="1:15" ht="24">
      <c r="A30" s="161" t="s">
        <v>94</v>
      </c>
      <c r="B30" s="162" t="s">
        <v>95</v>
      </c>
      <c r="C30" s="162" t="s">
        <v>40</v>
      </c>
      <c r="D30" s="162" t="s">
        <v>40</v>
      </c>
      <c r="E30" s="162" t="s">
        <v>40</v>
      </c>
      <c r="F30" s="162" t="s">
        <v>96</v>
      </c>
      <c r="G30" s="162" t="s">
        <v>97</v>
      </c>
      <c r="H30" s="162" t="s">
        <v>98</v>
      </c>
      <c r="I30" s="162" t="s">
        <v>99</v>
      </c>
      <c r="J30" s="162" t="s">
        <v>100</v>
      </c>
      <c r="K30" s="162" t="s">
        <v>40</v>
      </c>
      <c r="L30" s="162" t="s">
        <v>40</v>
      </c>
      <c r="M30" s="162" t="s">
        <v>101</v>
      </c>
      <c r="N30" s="162" t="s">
        <v>102</v>
      </c>
      <c r="O30" s="163">
        <v>0.27430555555555558</v>
      </c>
    </row>
  </sheetData>
  <mergeCells count="5">
    <mergeCell ref="C4:D4"/>
    <mergeCell ref="H14:K14"/>
    <mergeCell ref="H21:K22"/>
    <mergeCell ref="H4:K5"/>
    <mergeCell ref="H19:K20"/>
  </mergeCells>
  <conditionalFormatting sqref="C8">
    <cfRule type="cellIs" dxfId="437" priority="2" operator="greaterThan">
      <formula>0.298611111111111</formula>
    </cfRule>
  </conditionalFormatting>
  <conditionalFormatting sqref="C9:C23">
    <cfRule type="cellIs" dxfId="436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7F5D-A49E-4454-8E89-9DAE59CF5367}">
  <dimension ref="A2:O31"/>
  <sheetViews>
    <sheetView workbookViewId="0">
      <selection activeCell="G77" sqref="G77"/>
    </sheetView>
  </sheetViews>
  <sheetFormatPr defaultColWidth="9.140625" defaultRowHeight="15"/>
  <cols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3" bestFit="1" customWidth="1"/>
    <col min="9" max="9" width="14.28515625" customWidth="1"/>
    <col min="10" max="10" width="11.85546875" bestFit="1" customWidth="1"/>
    <col min="11" max="11" width="16.140625" customWidth="1"/>
    <col min="13" max="13" width="12.42578125" customWidth="1"/>
    <col min="14" max="14" width="12.7109375" customWidth="1"/>
    <col min="15" max="15" width="12.42578125" customWidth="1"/>
    <col min="16" max="16" width="16.425781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34"/>
    </row>
    <row r="4" spans="2:11">
      <c r="B4" s="17" t="s">
        <v>4</v>
      </c>
      <c r="C4" s="225"/>
      <c r="D4" s="231"/>
    </row>
    <row r="5" spans="2:11" ht="15" customHeight="1">
      <c r="B5" s="18" t="s">
        <v>6</v>
      </c>
      <c r="C5" s="19">
        <v>0.375</v>
      </c>
      <c r="D5" s="20" t="s">
        <v>7</v>
      </c>
      <c r="H5" s="216" t="s">
        <v>8</v>
      </c>
      <c r="I5" s="217"/>
      <c r="J5" s="217"/>
      <c r="K5" s="218"/>
    </row>
    <row r="6" spans="2:11" ht="15" customHeight="1">
      <c r="H6" s="219"/>
      <c r="I6" s="220"/>
      <c r="J6" s="220"/>
      <c r="K6" s="221"/>
    </row>
    <row r="7" spans="2:11">
      <c r="E7" s="23" t="s">
        <v>9</v>
      </c>
      <c r="F7" s="24">
        <f ca="1">TODAY()</f>
        <v>44716</v>
      </c>
      <c r="G7" s="42"/>
      <c r="H7" s="45" t="s">
        <v>10</v>
      </c>
      <c r="I7" s="49" t="s">
        <v>103</v>
      </c>
      <c r="J7" s="47" t="s">
        <v>9</v>
      </c>
      <c r="K7" s="48">
        <f ca="1">TODAY()</f>
        <v>44716</v>
      </c>
    </row>
    <row r="8" spans="2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3"/>
      <c r="H8" t="s">
        <v>16</v>
      </c>
      <c r="I8" t="s">
        <v>17</v>
      </c>
      <c r="J8" s="22" t="s">
        <v>18</v>
      </c>
      <c r="K8" t="s">
        <v>19</v>
      </c>
    </row>
    <row r="9" spans="2:11">
      <c r="B9" s="120">
        <v>44651</v>
      </c>
      <c r="C9" s="83">
        <v>0.29166666666666669</v>
      </c>
      <c r="D9" s="83">
        <v>0.72083333333333333</v>
      </c>
      <c r="E9" s="1">
        <f t="shared" ref="E9:E24" si="0">D9-C9</f>
        <v>0.42916666666666664</v>
      </c>
      <c r="F9" s="1">
        <f t="shared" ref="F9:F24" si="1">E9-$C$5</f>
        <v>5.4166666666666641E-2</v>
      </c>
      <c r="G9" s="1"/>
      <c r="H9" t="s">
        <v>20</v>
      </c>
      <c r="I9" s="3">
        <v>4500</v>
      </c>
      <c r="J9" s="22">
        <v>96</v>
      </c>
      <c r="K9" s="3">
        <f>Tabla2314111416182368[[#This Row],[VALOR]]*Tabla2314111416182368[[#This Row],[CANTIDAD]]</f>
        <v>432000</v>
      </c>
    </row>
    <row r="10" spans="2:11">
      <c r="B10" s="188">
        <v>44652</v>
      </c>
      <c r="C10" s="191">
        <v>0.29166666666666669</v>
      </c>
      <c r="D10" s="191">
        <v>0.71875</v>
      </c>
      <c r="E10" s="1">
        <v>0.80208333333333337</v>
      </c>
      <c r="F10" s="1">
        <v>0.42708333333333331</v>
      </c>
      <c r="G10" s="1"/>
      <c r="H10" t="s">
        <v>21</v>
      </c>
      <c r="I10" s="3">
        <v>6750</v>
      </c>
      <c r="J10" s="22">
        <v>22</v>
      </c>
      <c r="K10" s="3">
        <f>Tabla2314111416182368[[#This Row],[VALOR]]*Tabla2314111416182368[[#This Row],[CANTIDAD]]</f>
        <v>148500</v>
      </c>
    </row>
    <row r="11" spans="2:11">
      <c r="B11" s="188">
        <v>44653</v>
      </c>
      <c r="C11" s="191">
        <v>0.29166666666666669</v>
      </c>
      <c r="D11" s="191">
        <v>0.66666666666666663</v>
      </c>
      <c r="E11" s="1">
        <f t="shared" si="0"/>
        <v>0.37499999999999994</v>
      </c>
      <c r="F11" s="1">
        <f t="shared" si="1"/>
        <v>0</v>
      </c>
      <c r="G11" s="1"/>
      <c r="H11" t="s">
        <v>23</v>
      </c>
      <c r="I11" s="3">
        <v>6000</v>
      </c>
      <c r="J11" s="22">
        <v>10</v>
      </c>
      <c r="K11" s="3">
        <f>Tabla2314111416182368[[#This Row],[VALOR]]*Tabla2314111416182368[[#This Row],[CANTIDAD]]</f>
        <v>60000</v>
      </c>
    </row>
    <row r="12" spans="2:11">
      <c r="B12" s="85">
        <v>44654</v>
      </c>
      <c r="C12" s="83"/>
      <c r="D12" s="83"/>
      <c r="E12" s="1">
        <f t="shared" si="0"/>
        <v>0</v>
      </c>
      <c r="F12" s="1">
        <v>0</v>
      </c>
      <c r="G12" s="1"/>
      <c r="H12" t="s">
        <v>25</v>
      </c>
      <c r="I12" s="3">
        <v>70000</v>
      </c>
      <c r="J12" s="22">
        <v>1</v>
      </c>
      <c r="K12" s="3">
        <f>Tabla2314111416182368[[#This Row],[VALOR]]*Tabla2314111416182368[[#This Row],[CANTIDAD]]</f>
        <v>70000</v>
      </c>
    </row>
    <row r="13" spans="2:11">
      <c r="B13" s="119">
        <v>44655</v>
      </c>
      <c r="C13" s="83"/>
      <c r="D13" s="83"/>
      <c r="E13" s="1">
        <f t="shared" si="0"/>
        <v>0</v>
      </c>
      <c r="F13" s="1">
        <v>0</v>
      </c>
      <c r="G13" s="1"/>
      <c r="I13" s="3"/>
      <c r="J13" s="22"/>
      <c r="K13" s="3">
        <f>Tabla2314111416182368[[#This Row],[VALOR]]*Tabla2314111416182368[[#This Row],[CANTIDAD]]</f>
        <v>0</v>
      </c>
    </row>
    <row r="14" spans="2:11">
      <c r="B14" s="120">
        <v>44656</v>
      </c>
      <c r="C14" s="83">
        <v>0.29166666666666669</v>
      </c>
      <c r="D14" s="1">
        <v>0.70416666666666672</v>
      </c>
      <c r="E14" s="1">
        <f t="shared" si="0"/>
        <v>0.41250000000000003</v>
      </c>
      <c r="F14" s="1">
        <f t="shared" si="1"/>
        <v>3.7500000000000033E-2</v>
      </c>
      <c r="G14" s="1"/>
      <c r="H14" t="s">
        <v>26</v>
      </c>
      <c r="J14" s="26"/>
      <c r="K14" s="9">
        <f>SUBTOTAL(109,Tabla2314111416182368[SUB TOTAL])</f>
        <v>710500</v>
      </c>
    </row>
    <row r="15" spans="2:11">
      <c r="B15" s="120">
        <v>44657</v>
      </c>
      <c r="C15" s="83">
        <v>0.29166666666666669</v>
      </c>
      <c r="D15" s="83">
        <v>0.75555555555555554</v>
      </c>
      <c r="E15" s="1">
        <f t="shared" si="0"/>
        <v>0.46388888888888885</v>
      </c>
      <c r="F15" s="1">
        <f t="shared" si="1"/>
        <v>8.8888888888888851E-2</v>
      </c>
      <c r="G15" s="1"/>
      <c r="H15" s="222" t="s">
        <v>27</v>
      </c>
      <c r="I15" s="222"/>
      <c r="J15" s="222"/>
      <c r="K15" s="222"/>
    </row>
    <row r="16" spans="2:11">
      <c r="B16" s="120">
        <v>44658</v>
      </c>
      <c r="C16" s="83">
        <v>0.29166666666666669</v>
      </c>
      <c r="D16" s="83">
        <v>0.75347222222222221</v>
      </c>
      <c r="E16" s="1">
        <f t="shared" si="0"/>
        <v>0.46180555555555552</v>
      </c>
      <c r="F16" s="1">
        <f t="shared" si="1"/>
        <v>8.6805555555555525E-2</v>
      </c>
      <c r="G16" s="1"/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44659</v>
      </c>
      <c r="C17" s="83">
        <v>0.29166666666666669</v>
      </c>
      <c r="D17" s="83">
        <v>0.70902777777777781</v>
      </c>
      <c r="E17" s="1">
        <f t="shared" si="0"/>
        <v>0.41736111111111113</v>
      </c>
      <c r="F17" s="1">
        <f t="shared" si="1"/>
        <v>4.2361111111111127E-2</v>
      </c>
      <c r="G17" s="1"/>
      <c r="H17" s="10">
        <v>44670</v>
      </c>
      <c r="I17" t="s">
        <v>30</v>
      </c>
      <c r="J17" s="22">
        <v>50000</v>
      </c>
      <c r="K17" s="9">
        <f>$K$14-J17</f>
        <v>660500</v>
      </c>
    </row>
    <row r="18" spans="1:15">
      <c r="B18" s="120">
        <v>44660</v>
      </c>
      <c r="C18" s="83">
        <v>0.29166666666666669</v>
      </c>
      <c r="D18" s="1">
        <v>0.74236111111111114</v>
      </c>
      <c r="E18" s="1">
        <f t="shared" si="0"/>
        <v>0.45069444444444445</v>
      </c>
      <c r="F18" s="1">
        <f t="shared" si="1"/>
        <v>7.5694444444444453E-2</v>
      </c>
      <c r="H18" s="10"/>
      <c r="J18" s="21"/>
      <c r="K18" s="9">
        <f>K17-J18</f>
        <v>660500</v>
      </c>
    </row>
    <row r="19" spans="1:15">
      <c r="B19" s="85">
        <v>44661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660500</v>
      </c>
    </row>
    <row r="20" spans="1:15">
      <c r="B20" s="119">
        <v>44662</v>
      </c>
      <c r="C20" s="83"/>
      <c r="D20" s="1"/>
      <c r="E20" s="1">
        <f t="shared" si="0"/>
        <v>0</v>
      </c>
      <c r="F20" s="1">
        <v>0</v>
      </c>
      <c r="G20" s="1"/>
      <c r="H20" s="224" t="s">
        <v>31</v>
      </c>
      <c r="I20" s="224"/>
      <c r="J20" s="224"/>
      <c r="K20" s="224"/>
    </row>
    <row r="21" spans="1:15">
      <c r="B21" s="120">
        <v>44663</v>
      </c>
      <c r="C21" s="83">
        <v>0.29166666666666669</v>
      </c>
      <c r="D21" s="1">
        <v>0.5</v>
      </c>
      <c r="E21" s="1">
        <f t="shared" si="0"/>
        <v>0.20833333333333331</v>
      </c>
      <c r="F21" s="1">
        <v>0</v>
      </c>
      <c r="G21" s="1"/>
      <c r="H21" s="224"/>
      <c r="I21" s="224"/>
      <c r="J21" s="224"/>
      <c r="K21" s="224"/>
    </row>
    <row r="22" spans="1:15">
      <c r="B22" s="120">
        <v>44664</v>
      </c>
      <c r="C22" s="83">
        <v>0.29166666666666669</v>
      </c>
      <c r="D22" s="83">
        <v>0.76736111111111116</v>
      </c>
      <c r="E22" s="1">
        <f t="shared" si="0"/>
        <v>0.47569444444444448</v>
      </c>
      <c r="F22" s="1">
        <f t="shared" si="1"/>
        <v>0.10069444444444448</v>
      </c>
      <c r="G22" s="1"/>
    </row>
    <row r="23" spans="1:15">
      <c r="B23" s="120">
        <v>44665</v>
      </c>
      <c r="C23" s="83">
        <v>0.29166666666666669</v>
      </c>
      <c r="D23" s="1">
        <v>0.70833333333333337</v>
      </c>
      <c r="E23" s="1">
        <f t="shared" si="0"/>
        <v>0.41666666666666669</v>
      </c>
      <c r="F23" s="1">
        <f t="shared" si="1"/>
        <v>4.1666666666666685E-2</v>
      </c>
    </row>
    <row r="24" spans="1:15">
      <c r="B24" s="120"/>
      <c r="C24" s="1"/>
      <c r="D24" s="1"/>
      <c r="E24" s="1">
        <f t="shared" si="0"/>
        <v>0</v>
      </c>
      <c r="F24" s="1">
        <v>0</v>
      </c>
      <c r="G24" s="1"/>
    </row>
    <row r="25" spans="1:15" ht="15.75">
      <c r="B25" t="s">
        <v>26</v>
      </c>
      <c r="C25">
        <f>SUBTOTAL(102,Tabla1304170[ENTRADA])</f>
        <v>11</v>
      </c>
      <c r="E25" s="2">
        <f>SUBTOTAL(109,E9:E24)</f>
        <v>4.9131944444444446</v>
      </c>
      <c r="F25" s="2">
        <f>SUBTOTAL(109,Tabla1304170[EXTRAS])</f>
        <v>0.95486111111111116</v>
      </c>
      <c r="G25" s="43"/>
      <c r="I25" t="s">
        <v>104</v>
      </c>
    </row>
    <row r="26" spans="1:15" ht="15.75">
      <c r="C26" s="1"/>
      <c r="D26" s="6" t="s">
        <v>37</v>
      </c>
      <c r="E26" s="4">
        <f>Tabla1304170[[#Totals],[TOTAL]]-Tabla1304170[[#Totals],[EXTRAS]]</f>
        <v>3.9583333333333335</v>
      </c>
      <c r="F26" s="5" t="s">
        <v>7</v>
      </c>
    </row>
    <row r="27" spans="1:15" ht="15.75">
      <c r="C27" s="1"/>
      <c r="D27" s="7" t="s">
        <v>33</v>
      </c>
      <c r="E27" s="4">
        <f>Tabla1304170[[#Totals],[EXTRAS]]</f>
        <v>0.95486111111111116</v>
      </c>
      <c r="F27" s="8" t="s">
        <v>7</v>
      </c>
      <c r="G27" s="44"/>
    </row>
    <row r="28" spans="1:15" ht="15.75">
      <c r="D28" s="35" t="s">
        <v>34</v>
      </c>
      <c r="E28" s="27">
        <v>11</v>
      </c>
      <c r="F28" s="27" t="s">
        <v>35</v>
      </c>
      <c r="G28" s="44"/>
    </row>
    <row r="29" spans="1:15" ht="23.25" customHeight="1">
      <c r="D29" s="36" t="s">
        <v>36</v>
      </c>
      <c r="E29" s="28">
        <v>0</v>
      </c>
      <c r="F29" s="28" t="s">
        <v>35</v>
      </c>
    </row>
    <row r="30" spans="1:15" ht="15.75">
      <c r="A30" s="189" t="s">
        <v>39</v>
      </c>
      <c r="B30" s="160" t="s">
        <v>40</v>
      </c>
      <c r="C30" s="160">
        <v>100</v>
      </c>
      <c r="D30" s="160" t="s">
        <v>40</v>
      </c>
      <c r="E30" s="160" t="s">
        <v>40</v>
      </c>
      <c r="F30" s="160" t="s">
        <v>40</v>
      </c>
      <c r="G30" s="160" t="s">
        <v>40</v>
      </c>
      <c r="H30" s="160" t="s">
        <v>40</v>
      </c>
      <c r="I30" s="160" t="s">
        <v>41</v>
      </c>
      <c r="J30" s="160" t="s">
        <v>40</v>
      </c>
      <c r="K30" s="160" t="s">
        <v>105</v>
      </c>
      <c r="L30" s="160" t="s">
        <v>40</v>
      </c>
      <c r="M30" s="160" t="s">
        <v>40</v>
      </c>
      <c r="N30" s="160" t="s">
        <v>40</v>
      </c>
      <c r="O30" s="160" t="s">
        <v>40</v>
      </c>
    </row>
    <row r="31" spans="1:15" ht="24">
      <c r="A31" s="161" t="s">
        <v>106</v>
      </c>
      <c r="B31" s="162" t="s">
        <v>44</v>
      </c>
      <c r="C31" s="162" t="s">
        <v>40</v>
      </c>
      <c r="D31" s="162" t="s">
        <v>40</v>
      </c>
      <c r="E31" s="162" t="s">
        <v>40</v>
      </c>
      <c r="F31" s="162" t="s">
        <v>46</v>
      </c>
      <c r="G31" s="162" t="s">
        <v>107</v>
      </c>
      <c r="H31" s="162" t="s">
        <v>108</v>
      </c>
      <c r="I31" s="162" t="s">
        <v>109</v>
      </c>
      <c r="J31" s="162" t="s">
        <v>91</v>
      </c>
      <c r="K31" s="162" t="s">
        <v>40</v>
      </c>
      <c r="L31" s="162" t="s">
        <v>40</v>
      </c>
      <c r="M31" s="163">
        <v>0.28333333333333333</v>
      </c>
      <c r="N31" s="162" t="s">
        <v>110</v>
      </c>
      <c r="O31" s="163">
        <v>0.30833333333333335</v>
      </c>
    </row>
  </sheetData>
  <mergeCells count="4">
    <mergeCell ref="C4:D4"/>
    <mergeCell ref="H5:K6"/>
    <mergeCell ref="H15:K15"/>
    <mergeCell ref="H20:K21"/>
  </mergeCells>
  <conditionalFormatting sqref="C9">
    <cfRule type="cellIs" dxfId="425" priority="2" operator="greaterThan">
      <formula>0.298611111111111</formula>
    </cfRule>
  </conditionalFormatting>
  <conditionalFormatting sqref="C10:C24">
    <cfRule type="cellIs" dxfId="424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0EF1-3AE8-44D0-B823-B0A57D92DC68}">
  <dimension ref="A2:O31"/>
  <sheetViews>
    <sheetView topLeftCell="A14" workbookViewId="0">
      <selection activeCell="N20" sqref="N20"/>
    </sheetView>
  </sheetViews>
  <sheetFormatPr defaultColWidth="9.140625" defaultRowHeight="15"/>
  <cols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3" bestFit="1" customWidth="1"/>
    <col min="9" max="9" width="14.28515625" customWidth="1"/>
    <col min="10" max="10" width="11.85546875" bestFit="1" customWidth="1"/>
    <col min="11" max="11" width="16.140625" customWidth="1"/>
    <col min="13" max="13" width="12.42578125" customWidth="1"/>
    <col min="14" max="14" width="12.7109375" customWidth="1"/>
    <col min="15" max="15" width="12.42578125" customWidth="1"/>
    <col min="16" max="16" width="16.425781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34"/>
    </row>
    <row r="4" spans="2:11">
      <c r="B4" s="17" t="s">
        <v>4</v>
      </c>
      <c r="C4" s="225"/>
      <c r="D4" s="231"/>
    </row>
    <row r="5" spans="2:11" ht="15" customHeight="1">
      <c r="B5" s="18" t="s">
        <v>6</v>
      </c>
      <c r="C5" s="19">
        <v>0.375</v>
      </c>
      <c r="D5" s="20" t="s">
        <v>7</v>
      </c>
      <c r="H5" s="216" t="s">
        <v>8</v>
      </c>
      <c r="I5" s="217"/>
      <c r="J5" s="217"/>
      <c r="K5" s="218"/>
    </row>
    <row r="6" spans="2:11" ht="15" customHeight="1">
      <c r="H6" s="219"/>
      <c r="I6" s="220"/>
      <c r="J6" s="220"/>
      <c r="K6" s="221"/>
    </row>
    <row r="7" spans="2:11">
      <c r="E7" s="23" t="s">
        <v>9</v>
      </c>
      <c r="F7" s="24">
        <f ca="1">TODAY()</f>
        <v>44716</v>
      </c>
      <c r="G7" s="42"/>
      <c r="H7" s="45" t="s">
        <v>10</v>
      </c>
      <c r="I7" s="49" t="s">
        <v>111</v>
      </c>
      <c r="J7" s="47" t="s">
        <v>9</v>
      </c>
      <c r="K7" s="48">
        <f ca="1">TODAY()</f>
        <v>44716</v>
      </c>
    </row>
    <row r="8" spans="2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3"/>
      <c r="H8" t="s">
        <v>16</v>
      </c>
      <c r="I8" t="s">
        <v>17</v>
      </c>
      <c r="J8" s="22" t="s">
        <v>18</v>
      </c>
      <c r="K8" t="s">
        <v>19</v>
      </c>
    </row>
    <row r="9" spans="2:11">
      <c r="B9" s="120">
        <v>44651</v>
      </c>
      <c r="C9" s="83">
        <v>0.29305555555555557</v>
      </c>
      <c r="D9" s="83">
        <v>0.72222222222222221</v>
      </c>
      <c r="E9" s="1">
        <f t="shared" ref="E9:E24" si="0">D9-C9</f>
        <v>0.42916666666666664</v>
      </c>
      <c r="F9" s="1">
        <f>Tabla13041[[#This Row],[TOTAL]]-$C$5</f>
        <v>5.4166666666666641E-2</v>
      </c>
      <c r="G9" s="1"/>
      <c r="H9" t="s">
        <v>20</v>
      </c>
      <c r="I9" s="3">
        <v>4500</v>
      </c>
      <c r="J9" s="22">
        <v>90</v>
      </c>
      <c r="K9" s="3">
        <f>Tabla23141114161823[[#This Row],[VALOR]]*Tabla23141114161823[[#This Row],[CANTIDAD]]</f>
        <v>405000</v>
      </c>
    </row>
    <row r="10" spans="2:11">
      <c r="B10" s="188">
        <v>44652</v>
      </c>
      <c r="C10" s="191">
        <v>0.29236111111111113</v>
      </c>
      <c r="D10" s="191">
        <v>0.71527777777777779</v>
      </c>
      <c r="E10" s="1">
        <v>0.79791666666666672</v>
      </c>
      <c r="F10" s="1">
        <v>0.42291666666666666</v>
      </c>
      <c r="G10" s="1"/>
      <c r="H10" t="s">
        <v>21</v>
      </c>
      <c r="I10" s="3">
        <v>8358.1299999999992</v>
      </c>
      <c r="J10" s="22">
        <v>13</v>
      </c>
      <c r="K10" s="3">
        <f>Tabla23141114161823[[#This Row],[VALOR]]*Tabla23141114161823[[#This Row],[CANTIDAD]]</f>
        <v>108655.68999999999</v>
      </c>
    </row>
    <row r="11" spans="2:11">
      <c r="B11" s="188">
        <v>44653</v>
      </c>
      <c r="C11" s="191">
        <v>0.29166666666666669</v>
      </c>
      <c r="D11" s="191">
        <v>0.66666666666666663</v>
      </c>
      <c r="E11" s="1">
        <f t="shared" si="0"/>
        <v>0.37499999999999994</v>
      </c>
      <c r="F11" s="1">
        <f>Tabla13041[[#This Row],[TOTAL]]-$C$5</f>
        <v>0</v>
      </c>
      <c r="G11" s="1"/>
      <c r="H11" t="s">
        <v>23</v>
      </c>
      <c r="I11" s="3">
        <v>6000</v>
      </c>
      <c r="J11" s="22">
        <v>9</v>
      </c>
      <c r="K11" s="3">
        <f>Tabla23141114161823[[#This Row],[VALOR]]*Tabla23141114161823[[#This Row],[CANTIDAD]]</f>
        <v>54000</v>
      </c>
    </row>
    <row r="12" spans="2:11">
      <c r="B12" s="85">
        <v>44654</v>
      </c>
      <c r="C12" s="83"/>
      <c r="D12" s="83"/>
      <c r="E12" s="1">
        <f t="shared" si="0"/>
        <v>0</v>
      </c>
      <c r="F12" s="1">
        <v>0</v>
      </c>
      <c r="G12" s="1"/>
      <c r="H12" t="s">
        <v>25</v>
      </c>
      <c r="I12" s="3">
        <v>10447.64</v>
      </c>
      <c r="J12" s="22">
        <v>10</v>
      </c>
      <c r="K12" s="3">
        <f>Tabla23141114161823[[#This Row],[VALOR]]*Tabla23141114161823[[#This Row],[CANTIDAD]]</f>
        <v>104476.4</v>
      </c>
    </row>
    <row r="13" spans="2:11">
      <c r="B13" s="119">
        <v>44655</v>
      </c>
      <c r="C13" s="83"/>
      <c r="D13" s="83"/>
      <c r="E13" s="1">
        <f t="shared" si="0"/>
        <v>0</v>
      </c>
      <c r="F13" s="1">
        <v>0</v>
      </c>
      <c r="G13" s="1"/>
      <c r="I13" s="3"/>
      <c r="J13" s="22"/>
      <c r="K13" s="3">
        <f>Tabla23141114161823[[#This Row],[VALOR]]*Tabla23141114161823[[#This Row],[CANTIDAD]]</f>
        <v>0</v>
      </c>
    </row>
    <row r="14" spans="2:11">
      <c r="B14" s="120">
        <v>44656</v>
      </c>
      <c r="C14" s="83">
        <v>0.30416666666666664</v>
      </c>
      <c r="D14" s="1">
        <v>0.66666666666666663</v>
      </c>
      <c r="E14" s="1">
        <f t="shared" si="0"/>
        <v>0.36249999999999999</v>
      </c>
      <c r="F14" s="1">
        <f>Tabla13041[[#This Row],[TOTAL]]-$C$5</f>
        <v>-1.2500000000000011E-2</v>
      </c>
      <c r="G14" s="1"/>
      <c r="H14" t="s">
        <v>26</v>
      </c>
      <c r="J14" s="26"/>
      <c r="K14" s="9">
        <f>SUBTOTAL(109,Tabla23141114161823[SUB TOTAL])</f>
        <v>672132.09</v>
      </c>
    </row>
    <row r="15" spans="2:11">
      <c r="B15" s="120">
        <v>44657</v>
      </c>
      <c r="C15" s="83">
        <v>0.29652777777777778</v>
      </c>
      <c r="D15" s="83">
        <v>0.67708333333333337</v>
      </c>
      <c r="E15" s="1">
        <f t="shared" si="0"/>
        <v>0.38055555555555559</v>
      </c>
      <c r="F15" s="1">
        <f>Tabla13041[[#This Row],[TOTAL]]-$C$5</f>
        <v>5.5555555555555913E-3</v>
      </c>
      <c r="G15" s="1"/>
      <c r="H15" s="222" t="s">
        <v>27</v>
      </c>
      <c r="I15" s="222"/>
      <c r="J15" s="222"/>
      <c r="K15" s="222"/>
    </row>
    <row r="16" spans="2:11">
      <c r="B16" s="194">
        <v>44658</v>
      </c>
      <c r="C16" s="83"/>
      <c r="D16" s="83"/>
      <c r="E16" s="1">
        <f t="shared" si="0"/>
        <v>0</v>
      </c>
      <c r="F16" s="1">
        <v>0</v>
      </c>
      <c r="G16" s="1"/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44659</v>
      </c>
      <c r="C17" s="83">
        <v>0.29791666666666666</v>
      </c>
      <c r="D17" s="83">
        <v>0.70972222222222225</v>
      </c>
      <c r="E17" s="1">
        <f t="shared" si="0"/>
        <v>0.41180555555555559</v>
      </c>
      <c r="F17" s="1">
        <f>Tabla13041[[#This Row],[TOTAL]]-$C$5</f>
        <v>3.6805555555555591E-2</v>
      </c>
      <c r="G17" s="1"/>
      <c r="H17" s="10">
        <v>44670</v>
      </c>
      <c r="I17" t="s">
        <v>30</v>
      </c>
      <c r="J17" s="22"/>
      <c r="K17" s="9">
        <f>$K$14-J17</f>
        <v>672132.09</v>
      </c>
    </row>
    <row r="18" spans="1:15">
      <c r="B18" s="120">
        <v>44660</v>
      </c>
      <c r="C18" s="83">
        <v>0.30277777777777776</v>
      </c>
      <c r="D18" s="1">
        <v>0.6791666666666667</v>
      </c>
      <c r="E18" s="1">
        <f t="shared" si="0"/>
        <v>0.37638888888888894</v>
      </c>
      <c r="F18" s="1">
        <f>Tabla13041[[#This Row],[TOTAL]]-$C$5</f>
        <v>1.3888888888889395E-3</v>
      </c>
      <c r="H18" s="10"/>
      <c r="J18" s="21"/>
      <c r="K18" s="9">
        <f>K17-J18</f>
        <v>672132.09</v>
      </c>
    </row>
    <row r="19" spans="1:15">
      <c r="B19" s="85">
        <v>44661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672132.09</v>
      </c>
    </row>
    <row r="20" spans="1:15">
      <c r="B20" s="119">
        <v>44662</v>
      </c>
      <c r="C20" s="83"/>
      <c r="D20" s="1"/>
      <c r="E20" s="1">
        <f t="shared" si="0"/>
        <v>0</v>
      </c>
      <c r="F20" s="1">
        <v>0</v>
      </c>
      <c r="G20" s="1"/>
      <c r="H20" s="224" t="s">
        <v>31</v>
      </c>
      <c r="I20" s="224"/>
      <c r="J20" s="224"/>
      <c r="K20" s="224"/>
    </row>
    <row r="21" spans="1:15">
      <c r="B21" s="120">
        <v>44663</v>
      </c>
      <c r="C21" s="83">
        <v>0.30069444444444443</v>
      </c>
      <c r="D21" s="1">
        <v>0.71527777777777779</v>
      </c>
      <c r="E21" s="1">
        <f t="shared" si="0"/>
        <v>0.41458333333333336</v>
      </c>
      <c r="F21" s="1">
        <f>Tabla13041[[#This Row],[TOTAL]]-$C$5</f>
        <v>3.9583333333333359E-2</v>
      </c>
      <c r="G21" s="1"/>
      <c r="H21" s="224"/>
      <c r="I21" s="224"/>
      <c r="J21" s="224"/>
      <c r="K21" s="224"/>
    </row>
    <row r="22" spans="1:15">
      <c r="B22" s="120">
        <v>44664</v>
      </c>
      <c r="C22" s="83">
        <v>0.29930555555555555</v>
      </c>
      <c r="D22" s="83">
        <v>0.66666666666666663</v>
      </c>
      <c r="E22" s="1">
        <f t="shared" si="0"/>
        <v>0.36736111111111108</v>
      </c>
      <c r="F22" s="1">
        <f>Tabla13041[[#This Row],[TOTAL]]-$C$5</f>
        <v>-7.6388888888889173E-3</v>
      </c>
      <c r="G22" s="1"/>
    </row>
    <row r="23" spans="1:15">
      <c r="B23" s="120">
        <v>44665</v>
      </c>
      <c r="C23" s="83">
        <v>0.30277777777777776</v>
      </c>
      <c r="D23" s="1">
        <v>0.66666666666666663</v>
      </c>
      <c r="E23" s="1">
        <f t="shared" si="0"/>
        <v>0.36388888888888887</v>
      </c>
      <c r="F23" s="1">
        <f>Tabla13041[[#This Row],[TOTAL]]-$C$5</f>
        <v>-1.1111111111111127E-2</v>
      </c>
    </row>
    <row r="24" spans="1:15">
      <c r="B24" s="120"/>
      <c r="C24" s="1"/>
      <c r="D24" s="1"/>
      <c r="E24" s="1">
        <f t="shared" si="0"/>
        <v>0</v>
      </c>
      <c r="F24" s="1">
        <v>0</v>
      </c>
      <c r="G24" s="1"/>
      <c r="H24" t="s">
        <v>112</v>
      </c>
    </row>
    <row r="25" spans="1:15" ht="15.75">
      <c r="B25" t="s">
        <v>26</v>
      </c>
      <c r="C25">
        <f>SUBTOTAL(102,Tabla13041[ENTRADA])</f>
        <v>10</v>
      </c>
      <c r="E25" s="2">
        <f>SUBTOTAL(109,E9:E24)</f>
        <v>4.2791666666666668</v>
      </c>
      <c r="F25" s="2">
        <f>SUBTOTAL(109,Tabla13041[EXTRAS])</f>
        <v>0.52916666666666656</v>
      </c>
      <c r="G25" s="43"/>
      <c r="H25" t="s">
        <v>113</v>
      </c>
    </row>
    <row r="26" spans="1:15" ht="15.75">
      <c r="C26" s="1"/>
      <c r="D26" s="6" t="s">
        <v>37</v>
      </c>
      <c r="E26" s="4">
        <f>Tabla13041[[#Totals],[TOTAL]]-Tabla13041[[#Totals],[EXTRAS]]</f>
        <v>3.75</v>
      </c>
      <c r="F26" s="5" t="s">
        <v>7</v>
      </c>
    </row>
    <row r="27" spans="1:15" ht="15.75">
      <c r="C27" s="1"/>
      <c r="D27" s="7" t="s">
        <v>33</v>
      </c>
      <c r="E27" s="4">
        <f>Tabla13041[[#Totals],[EXTRAS]]</f>
        <v>0.52916666666666656</v>
      </c>
      <c r="F27" s="8" t="s">
        <v>7</v>
      </c>
      <c r="G27" s="44"/>
      <c r="I27" t="s">
        <v>104</v>
      </c>
    </row>
    <row r="28" spans="1:15" ht="15.75">
      <c r="D28" s="35" t="s">
        <v>34</v>
      </c>
      <c r="E28" s="27">
        <v>11</v>
      </c>
      <c r="F28" s="27" t="s">
        <v>35</v>
      </c>
      <c r="G28" s="44"/>
    </row>
    <row r="29" spans="1:15" ht="21" customHeight="1">
      <c r="D29" s="36" t="s">
        <v>36</v>
      </c>
      <c r="E29" s="28">
        <v>0</v>
      </c>
      <c r="F29" s="28" t="s">
        <v>35</v>
      </c>
    </row>
    <row r="30" spans="1:15" ht="15.75">
      <c r="A30" s="189" t="s">
        <v>39</v>
      </c>
      <c r="B30" s="160" t="s">
        <v>40</v>
      </c>
      <c r="C30" s="160">
        <v>28</v>
      </c>
      <c r="D30" s="160" t="s">
        <v>40</v>
      </c>
      <c r="E30" s="160" t="s">
        <v>40</v>
      </c>
      <c r="F30" s="160" t="s">
        <v>40</v>
      </c>
      <c r="G30" s="160" t="s">
        <v>40</v>
      </c>
      <c r="H30" s="160" t="s">
        <v>40</v>
      </c>
      <c r="I30" s="160" t="s">
        <v>41</v>
      </c>
      <c r="J30" s="160" t="s">
        <v>40</v>
      </c>
      <c r="K30" s="160" t="s">
        <v>111</v>
      </c>
      <c r="L30" s="190"/>
      <c r="M30" s="160" t="s">
        <v>40</v>
      </c>
      <c r="N30" s="160" t="s">
        <v>40</v>
      </c>
      <c r="O30" s="160" t="s">
        <v>40</v>
      </c>
    </row>
    <row r="31" spans="1:15" ht="24">
      <c r="A31" s="161" t="s">
        <v>114</v>
      </c>
      <c r="B31" s="162" t="s">
        <v>115</v>
      </c>
      <c r="C31" s="162" t="s">
        <v>40</v>
      </c>
      <c r="D31" s="162" t="s">
        <v>40</v>
      </c>
      <c r="E31" s="162" t="s">
        <v>40</v>
      </c>
      <c r="F31" s="163">
        <v>0.30416666666666664</v>
      </c>
      <c r="G31" s="162" t="s">
        <v>116</v>
      </c>
      <c r="H31" s="162" t="s">
        <v>40</v>
      </c>
      <c r="I31" s="162" t="s">
        <v>117</v>
      </c>
      <c r="J31" s="162" t="s">
        <v>118</v>
      </c>
      <c r="K31" s="162" t="s">
        <v>40</v>
      </c>
      <c r="L31" s="162" t="s">
        <v>40</v>
      </c>
      <c r="M31" s="162" t="s">
        <v>119</v>
      </c>
      <c r="N31" s="163">
        <v>0.29930555555555555</v>
      </c>
      <c r="O31" s="163">
        <v>0.30277777777777776</v>
      </c>
    </row>
  </sheetData>
  <mergeCells count="4">
    <mergeCell ref="C4:D4"/>
    <mergeCell ref="H15:K15"/>
    <mergeCell ref="H5:K6"/>
    <mergeCell ref="H20:K21"/>
  </mergeCells>
  <conditionalFormatting sqref="C9">
    <cfRule type="cellIs" dxfId="413" priority="2" operator="greaterThan">
      <formula>0.298611111111111</formula>
    </cfRule>
  </conditionalFormatting>
  <conditionalFormatting sqref="C10:C24">
    <cfRule type="cellIs" dxfId="412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09C1-C303-46E5-B4C8-66A7BC41C859}">
  <dimension ref="A2:P29"/>
  <sheetViews>
    <sheetView workbookViewId="0">
      <selection activeCell="P14" sqref="P14"/>
    </sheetView>
  </sheetViews>
  <sheetFormatPr defaultColWidth="11.42578125" defaultRowHeight="15"/>
  <cols>
    <col min="1" max="1" width="11.28515625" customWidth="1"/>
    <col min="2" max="2" width="34.28515625" bestFit="1" customWidth="1"/>
    <col min="3" max="3" width="10.42578125" bestFit="1" customWidth="1"/>
    <col min="4" max="4" width="18" bestFit="1" customWidth="1"/>
    <col min="5" max="5" width="11.7109375" customWidth="1"/>
    <col min="6" max="6" width="11.85546875" customWidth="1"/>
    <col min="7" max="7" width="9.140625"/>
    <col min="8" max="8" width="13" bestFit="1" customWidth="1"/>
    <col min="9" max="9" width="13.85546875" customWidth="1"/>
    <col min="10" max="10" width="11.5703125" bestFit="1" customWidth="1"/>
    <col min="11" max="11" width="14.28515625" customWidth="1"/>
    <col min="16" max="16" width="16.140625" customWidth="1"/>
  </cols>
  <sheetData>
    <row r="2" spans="2:16" ht="15.75">
      <c r="B2" s="11" t="s">
        <v>0</v>
      </c>
      <c r="C2" s="12"/>
      <c r="D2" s="13"/>
    </row>
    <row r="3" spans="2:16">
      <c r="B3" s="14" t="s">
        <v>3</v>
      </c>
      <c r="C3" s="15"/>
      <c r="D3" s="16"/>
    </row>
    <row r="4" spans="2:16" ht="15" customHeight="1">
      <c r="B4" s="17" t="s">
        <v>4</v>
      </c>
      <c r="C4" s="225"/>
      <c r="D4" s="231"/>
      <c r="H4" s="216" t="s">
        <v>8</v>
      </c>
      <c r="I4" s="217"/>
      <c r="J4" s="217"/>
      <c r="K4" s="218"/>
    </row>
    <row r="5" spans="2:16" ht="15" customHeight="1">
      <c r="B5" s="18" t="s">
        <v>6</v>
      </c>
      <c r="C5" s="19">
        <v>0.375</v>
      </c>
      <c r="D5" s="20" t="s">
        <v>7</v>
      </c>
      <c r="H5" s="219"/>
      <c r="I5" s="220"/>
      <c r="J5" s="220"/>
      <c r="K5" s="221"/>
    </row>
    <row r="6" spans="2:16">
      <c r="E6" s="23" t="s">
        <v>9</v>
      </c>
      <c r="F6" s="24">
        <f ca="1">TODAY()</f>
        <v>44716</v>
      </c>
      <c r="H6" s="45" t="s">
        <v>10</v>
      </c>
      <c r="I6" s="49" t="s">
        <v>120</v>
      </c>
      <c r="J6" s="47" t="s">
        <v>9</v>
      </c>
      <c r="K6" s="48">
        <f ca="1">TODAY()</f>
        <v>44716</v>
      </c>
    </row>
    <row r="7" spans="2:16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6">
      <c r="B8" s="120">
        <v>44651</v>
      </c>
      <c r="C8" s="83"/>
      <c r="D8" s="83"/>
      <c r="E8" s="1">
        <f t="shared" ref="E8:E23" si="0">D8-C8</f>
        <v>0</v>
      </c>
      <c r="F8" s="1">
        <v>0</v>
      </c>
      <c r="H8" t="s">
        <v>20</v>
      </c>
      <c r="I8" s="3">
        <v>4500</v>
      </c>
      <c r="J8" s="22">
        <v>33</v>
      </c>
      <c r="K8" s="3">
        <f>Tabla2314119[[#This Row],[VALOR]]*Tabla2314119[[#This Row],[CANTIDAD]]</f>
        <v>148500</v>
      </c>
    </row>
    <row r="9" spans="2:16">
      <c r="B9" s="188">
        <v>44652</v>
      </c>
      <c r="C9" s="191"/>
      <c r="D9" s="191"/>
      <c r="E9" s="1">
        <f t="shared" si="0"/>
        <v>0</v>
      </c>
      <c r="F9" s="1">
        <v>0</v>
      </c>
      <c r="H9" t="s">
        <v>21</v>
      </c>
      <c r="I9" s="3">
        <v>6750</v>
      </c>
      <c r="J9" s="21">
        <v>1</v>
      </c>
      <c r="K9" s="3">
        <f>Tabla2314119[[#This Row],[VALOR]]*Tabla2314119[[#This Row],[CANTIDAD]]</f>
        <v>6750</v>
      </c>
    </row>
    <row r="10" spans="2:16">
      <c r="B10" s="188">
        <v>44653</v>
      </c>
      <c r="C10" s="191"/>
      <c r="D10" s="191"/>
      <c r="E10" s="1">
        <f t="shared" si="0"/>
        <v>0</v>
      </c>
      <c r="F10" s="1">
        <v>0</v>
      </c>
      <c r="G10" s="1"/>
      <c r="H10" t="s">
        <v>23</v>
      </c>
      <c r="I10" s="3">
        <v>6000</v>
      </c>
      <c r="J10" s="22">
        <v>2</v>
      </c>
      <c r="K10" s="3">
        <f>Tabla2314119[[#This Row],[VALOR]]*Tabla2314119[[#This Row],[CANTIDAD]]</f>
        <v>12000</v>
      </c>
    </row>
    <row r="11" spans="2:16">
      <c r="B11" s="85">
        <v>44654</v>
      </c>
      <c r="C11" s="83"/>
      <c r="D11" s="83"/>
      <c r="E11" s="1">
        <f t="shared" si="0"/>
        <v>0</v>
      </c>
      <c r="F11" s="1">
        <v>0</v>
      </c>
      <c r="H11" t="s">
        <v>25</v>
      </c>
      <c r="I11" s="3">
        <v>70000</v>
      </c>
      <c r="J11" s="89"/>
      <c r="K11" s="3">
        <f>Tabla2314119[[#This Row],[VALOR]]*Tabla2314119[[#This Row],[CANTIDAD]]</f>
        <v>0</v>
      </c>
    </row>
    <row r="12" spans="2:16">
      <c r="B12" s="119">
        <v>44655</v>
      </c>
      <c r="C12" s="83"/>
      <c r="D12" s="83"/>
      <c r="E12" s="1">
        <f t="shared" si="0"/>
        <v>0</v>
      </c>
      <c r="F12" s="1">
        <v>0</v>
      </c>
      <c r="I12" s="3"/>
      <c r="J12" s="22"/>
      <c r="K12" s="3">
        <f>Tabla2314119[[#This Row],[VALOR]]*Tabla2314119[[#This Row],[CANTIDAD]]</f>
        <v>0</v>
      </c>
    </row>
    <row r="13" spans="2:16">
      <c r="B13" s="120">
        <v>44656</v>
      </c>
      <c r="C13" s="83"/>
      <c r="D13" s="1"/>
      <c r="E13" s="1">
        <f t="shared" si="0"/>
        <v>0</v>
      </c>
      <c r="F13" s="1">
        <v>0</v>
      </c>
      <c r="H13" t="s">
        <v>26</v>
      </c>
      <c r="J13" s="26"/>
      <c r="K13" s="9">
        <f>SUBTOTAL(109,Tabla2314119[SUB TOTAL])</f>
        <v>167250</v>
      </c>
    </row>
    <row r="14" spans="2:16">
      <c r="B14" s="120">
        <v>44657</v>
      </c>
      <c r="C14" s="83"/>
      <c r="D14" s="83"/>
      <c r="E14" s="1">
        <f t="shared" si="0"/>
        <v>0</v>
      </c>
      <c r="F14" s="1">
        <v>0</v>
      </c>
      <c r="H14" s="222" t="s">
        <v>27</v>
      </c>
      <c r="I14" s="222"/>
      <c r="J14" s="222"/>
      <c r="K14" s="222"/>
      <c r="P14" t="s">
        <v>121</v>
      </c>
    </row>
    <row r="15" spans="2:16">
      <c r="B15" s="120">
        <v>44658</v>
      </c>
      <c r="C15" s="83"/>
      <c r="D15" s="83"/>
      <c r="E15" s="1">
        <f t="shared" si="0"/>
        <v>0</v>
      </c>
      <c r="F15" s="1">
        <v>0</v>
      </c>
      <c r="H15" t="s">
        <v>11</v>
      </c>
      <c r="I15" s="3" t="s">
        <v>16</v>
      </c>
      <c r="J15" s="22" t="s">
        <v>18</v>
      </c>
      <c r="K15" t="s">
        <v>14</v>
      </c>
    </row>
    <row r="16" spans="2:16">
      <c r="B16" s="120">
        <v>44659</v>
      </c>
      <c r="C16" s="83">
        <v>0.29166666666666669</v>
      </c>
      <c r="D16" s="83">
        <v>0.70833333333333337</v>
      </c>
      <c r="E16" s="1">
        <f t="shared" si="0"/>
        <v>0.41666666666666669</v>
      </c>
      <c r="F16" s="1">
        <f>Tabla1303521[[#This Row],[TOTAL]]-$C$5</f>
        <v>4.1666666666666685E-2</v>
      </c>
      <c r="H16" s="10"/>
      <c r="J16" s="22">
        <v>0</v>
      </c>
      <c r="K16" s="9">
        <f>Tabla2314119[[#Totals],[SUB TOTAL]]-Tabla332101312[[#This Row],[CANTIDAD]]</f>
        <v>167250</v>
      </c>
    </row>
    <row r="17" spans="1:16">
      <c r="B17" s="120">
        <v>44660</v>
      </c>
      <c r="C17" s="83">
        <v>0.29166666666666669</v>
      </c>
      <c r="D17" s="1">
        <v>0.54166666666666663</v>
      </c>
      <c r="E17" s="1">
        <f t="shared" si="0"/>
        <v>0.24999999999999994</v>
      </c>
      <c r="F17" s="1">
        <v>0</v>
      </c>
      <c r="H17" s="10"/>
      <c r="J17" s="21"/>
      <c r="K17" s="9">
        <f>K16-Tabla332101312[[#This Row],[CANTIDAD]]</f>
        <v>167250</v>
      </c>
    </row>
    <row r="18" spans="1:16">
      <c r="B18" s="85">
        <v>44661</v>
      </c>
      <c r="C18" s="1"/>
      <c r="D18" s="1"/>
      <c r="E18" s="1">
        <f t="shared" si="0"/>
        <v>0</v>
      </c>
      <c r="F18" s="1">
        <v>0</v>
      </c>
      <c r="H18" s="10"/>
      <c r="J18" s="21"/>
      <c r="K18" s="9">
        <f>K17-Tabla332101312[[#This Row],[CANTIDAD]]</f>
        <v>167250</v>
      </c>
    </row>
    <row r="19" spans="1:16">
      <c r="B19" s="119">
        <v>44662</v>
      </c>
      <c r="C19" s="83"/>
      <c r="D19" s="1"/>
      <c r="E19" s="1">
        <f t="shared" si="0"/>
        <v>0</v>
      </c>
      <c r="F19" s="1">
        <v>0</v>
      </c>
      <c r="H19" s="224" t="s">
        <v>31</v>
      </c>
      <c r="I19" s="224"/>
      <c r="J19" s="224"/>
      <c r="K19" s="224"/>
    </row>
    <row r="20" spans="1:16">
      <c r="B20" s="120">
        <v>44663</v>
      </c>
      <c r="C20" s="83">
        <v>0.29166666666666669</v>
      </c>
      <c r="D20" s="1">
        <v>0.54166666666666663</v>
      </c>
      <c r="E20" s="1">
        <f t="shared" si="0"/>
        <v>0.24999999999999994</v>
      </c>
      <c r="F20" s="1">
        <v>0</v>
      </c>
      <c r="H20" s="224"/>
      <c r="I20" s="224"/>
      <c r="J20" s="224"/>
      <c r="K20" s="224"/>
    </row>
    <row r="21" spans="1:16">
      <c r="B21" s="120">
        <v>44664</v>
      </c>
      <c r="C21" s="83">
        <v>0.29166666666666669</v>
      </c>
      <c r="D21" s="83">
        <v>0.54166666666666663</v>
      </c>
      <c r="E21" s="1">
        <f t="shared" si="0"/>
        <v>0.24999999999999994</v>
      </c>
      <c r="F21" s="1">
        <v>0</v>
      </c>
      <c r="N21" t="s">
        <v>122</v>
      </c>
    </row>
    <row r="22" spans="1:16">
      <c r="B22" s="120">
        <v>44665</v>
      </c>
      <c r="C22" s="83">
        <v>0.29166666666666669</v>
      </c>
      <c r="D22" s="1">
        <v>0.54166666666666663</v>
      </c>
      <c r="E22" s="1">
        <f t="shared" si="0"/>
        <v>0.24999999999999994</v>
      </c>
      <c r="F22" s="1">
        <v>0</v>
      </c>
    </row>
    <row r="23" spans="1:16">
      <c r="B23" s="120"/>
      <c r="C23" s="1"/>
      <c r="D23" s="1"/>
      <c r="E23" s="1">
        <f t="shared" si="0"/>
        <v>0</v>
      </c>
      <c r="F23" s="1">
        <v>0</v>
      </c>
    </row>
    <row r="24" spans="1:16">
      <c r="B24" t="s">
        <v>26</v>
      </c>
      <c r="E24" s="2">
        <f>SUBTOTAL(109,E8:E23)</f>
        <v>1.4166666666666665</v>
      </c>
      <c r="F24" s="2">
        <f>SUBTOTAL(109,Tabla1303521[EXTRAS])</f>
        <v>4.1666666666666685E-2</v>
      </c>
    </row>
    <row r="25" spans="1:16" ht="15.75">
      <c r="C25" s="1"/>
      <c r="D25" s="6" t="s">
        <v>37</v>
      </c>
      <c r="E25" s="4">
        <f>Tabla1303521[[#Totals],[TOTAL]]-Tabla1303521[[#Totals],[EXTRAS]]</f>
        <v>1.3749999999999998</v>
      </c>
      <c r="F25" s="5" t="s">
        <v>7</v>
      </c>
    </row>
    <row r="26" spans="1:16" ht="15.75">
      <c r="C26" s="1"/>
      <c r="D26" s="7" t="s">
        <v>33</v>
      </c>
      <c r="E26" s="4">
        <f>Tabla1303521[[#Totals],[EXTRAS]]</f>
        <v>4.1666666666666685E-2</v>
      </c>
      <c r="F26" s="8" t="s">
        <v>7</v>
      </c>
    </row>
    <row r="27" spans="1:16" ht="15.75">
      <c r="D27" s="35" t="s">
        <v>34</v>
      </c>
      <c r="E27" s="27">
        <v>11</v>
      </c>
      <c r="F27" s="27" t="s">
        <v>35</v>
      </c>
    </row>
    <row r="28" spans="1:16" ht="15.75">
      <c r="A28" s="189" t="s">
        <v>39</v>
      </c>
      <c r="B28" s="160" t="s">
        <v>40</v>
      </c>
      <c r="C28" s="160">
        <v>29</v>
      </c>
      <c r="D28" s="160" t="s">
        <v>40</v>
      </c>
      <c r="E28" s="160" t="s">
        <v>40</v>
      </c>
      <c r="F28" s="160" t="s">
        <v>40</v>
      </c>
      <c r="G28" s="160" t="s">
        <v>40</v>
      </c>
      <c r="H28" s="160" t="s">
        <v>40</v>
      </c>
      <c r="I28" s="160" t="s">
        <v>41</v>
      </c>
      <c r="J28" s="160" t="s">
        <v>40</v>
      </c>
      <c r="K28" s="160" t="s">
        <v>123</v>
      </c>
      <c r="L28" s="190"/>
      <c r="M28" s="160" t="s">
        <v>40</v>
      </c>
      <c r="N28" s="160" t="s">
        <v>40</v>
      </c>
      <c r="O28" s="160" t="s">
        <v>40</v>
      </c>
      <c r="P28" s="160" t="s">
        <v>40</v>
      </c>
    </row>
    <row r="29" spans="1:16" ht="24">
      <c r="A29" s="161" t="s">
        <v>124</v>
      </c>
      <c r="B29" s="162" t="s">
        <v>40</v>
      </c>
      <c r="C29" s="162" t="s">
        <v>40</v>
      </c>
      <c r="D29" s="162" t="s">
        <v>40</v>
      </c>
      <c r="E29" s="162" t="s">
        <v>125</v>
      </c>
      <c r="F29" s="162" t="s">
        <v>40</v>
      </c>
      <c r="G29" s="162" t="s">
        <v>40</v>
      </c>
      <c r="H29" s="162" t="s">
        <v>40</v>
      </c>
      <c r="I29" s="162" t="s">
        <v>40</v>
      </c>
      <c r="J29" s="162" t="s">
        <v>40</v>
      </c>
      <c r="K29" s="162" t="s">
        <v>126</v>
      </c>
      <c r="L29" s="162" t="s">
        <v>127</v>
      </c>
      <c r="M29" s="162" t="s">
        <v>40</v>
      </c>
      <c r="N29" s="162" t="s">
        <v>40</v>
      </c>
      <c r="O29" s="162" t="s">
        <v>128</v>
      </c>
      <c r="P29" s="163">
        <v>0.2951388888888889</v>
      </c>
    </row>
  </sheetData>
  <mergeCells count="4">
    <mergeCell ref="C4:D4"/>
    <mergeCell ref="H4:K5"/>
    <mergeCell ref="H14:K14"/>
    <mergeCell ref="H19:K20"/>
  </mergeCells>
  <conditionalFormatting sqref="C8">
    <cfRule type="cellIs" dxfId="401" priority="2" operator="greaterThan">
      <formula>0.298611111111111</formula>
    </cfRule>
  </conditionalFormatting>
  <conditionalFormatting sqref="C9:C23">
    <cfRule type="cellIs" dxfId="400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B3CC-4DA8-483D-887B-EDCA5F468FE0}">
  <dimension ref="A1:O30"/>
  <sheetViews>
    <sheetView workbookViewId="0">
      <selection activeCell="H5" sqref="H5:K21"/>
    </sheetView>
  </sheetViews>
  <sheetFormatPr defaultColWidth="9.140625" defaultRowHeight="15"/>
  <cols>
    <col min="1" max="1" width="8.28515625" customWidth="1"/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5.42578125" customWidth="1"/>
    <col min="9" max="9" width="14.28515625" customWidth="1"/>
    <col min="10" max="10" width="11.5703125" bestFit="1" customWidth="1"/>
    <col min="11" max="11" width="16.140625" customWidth="1"/>
    <col min="14" max="14" width="11.85546875" customWidth="1"/>
    <col min="16" max="16" width="13" customWidth="1"/>
  </cols>
  <sheetData>
    <row r="1" spans="1:11">
      <c r="A1" s="3"/>
    </row>
    <row r="2" spans="1:11" ht="15.75">
      <c r="A2" s="3"/>
      <c r="B2" s="11" t="s">
        <v>0</v>
      </c>
      <c r="C2" s="12" t="s">
        <v>1</v>
      </c>
      <c r="D2" s="13" t="s">
        <v>2</v>
      </c>
    </row>
    <row r="3" spans="1:11">
      <c r="A3" s="3"/>
      <c r="B3" s="14" t="s">
        <v>3</v>
      </c>
      <c r="C3" s="15"/>
      <c r="D3" s="34"/>
    </row>
    <row r="4" spans="1:11">
      <c r="A4" s="3"/>
      <c r="B4" s="17" t="s">
        <v>4</v>
      </c>
      <c r="C4" s="225"/>
      <c r="D4" s="231"/>
    </row>
    <row r="5" spans="1:11" ht="15" customHeight="1">
      <c r="B5" s="18" t="s">
        <v>6</v>
      </c>
      <c r="C5" s="19">
        <v>0.375</v>
      </c>
      <c r="D5" s="20" t="s">
        <v>7</v>
      </c>
      <c r="H5" s="216" t="s">
        <v>8</v>
      </c>
      <c r="I5" s="217"/>
      <c r="J5" s="217"/>
      <c r="K5" s="218"/>
    </row>
    <row r="6" spans="1:11" ht="15" customHeight="1">
      <c r="H6" s="219"/>
      <c r="I6" s="220"/>
      <c r="J6" s="220"/>
      <c r="K6" s="221"/>
    </row>
    <row r="7" spans="1:11">
      <c r="E7" s="23" t="s">
        <v>9</v>
      </c>
      <c r="F7" s="24">
        <f ca="1">TODAY()</f>
        <v>44716</v>
      </c>
      <c r="G7" s="42"/>
      <c r="H7" s="45" t="s">
        <v>10</v>
      </c>
      <c r="I7" s="49" t="s">
        <v>129</v>
      </c>
      <c r="J7" s="47" t="s">
        <v>9</v>
      </c>
      <c r="K7" s="48">
        <f ca="1">TODAY()</f>
        <v>44716</v>
      </c>
    </row>
    <row r="8" spans="1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3"/>
      <c r="H8" t="s">
        <v>16</v>
      </c>
      <c r="I8" t="s">
        <v>17</v>
      </c>
      <c r="J8" s="22" t="s">
        <v>18</v>
      </c>
      <c r="K8" t="s">
        <v>19</v>
      </c>
    </row>
    <row r="9" spans="1:11">
      <c r="B9" s="120">
        <v>44651</v>
      </c>
      <c r="C9" s="83">
        <v>0.27638888888888891</v>
      </c>
      <c r="D9" s="83">
        <v>0.76111111111111107</v>
      </c>
      <c r="E9" s="1">
        <f t="shared" ref="E9:E24" si="0">D9-C9</f>
        <v>0.48472222222222217</v>
      </c>
      <c r="F9" s="1">
        <f t="shared" ref="F9:F24" si="1">E9-$C$5</f>
        <v>0.10972222222222217</v>
      </c>
      <c r="G9" s="1"/>
      <c r="H9" t="s">
        <v>130</v>
      </c>
      <c r="I9" s="3">
        <v>1800000</v>
      </c>
      <c r="J9" s="22"/>
      <c r="K9" s="3">
        <f>Tabla231411141618231159[[#This Row],[VALOR]]*Tabla231411141618231159[[#This Row],[CANTIDAD]]</f>
        <v>0</v>
      </c>
    </row>
    <row r="10" spans="1:11">
      <c r="B10" s="188">
        <v>44652</v>
      </c>
      <c r="C10" s="191">
        <v>0.28749999999999998</v>
      </c>
      <c r="D10" s="191">
        <v>0.70694444444444449</v>
      </c>
      <c r="E10" s="1">
        <f t="shared" si="0"/>
        <v>0.41944444444444451</v>
      </c>
      <c r="F10" s="1">
        <f t="shared" si="1"/>
        <v>4.4444444444444509E-2</v>
      </c>
      <c r="G10" s="1"/>
      <c r="H10" t="s">
        <v>131</v>
      </c>
      <c r="I10" s="3">
        <v>900000</v>
      </c>
      <c r="J10" s="22">
        <v>1</v>
      </c>
      <c r="K10" s="3">
        <f>Tabla231411141618231159[[#This Row],[VALOR]]*Tabla231411141618231159[[#This Row],[CANTIDAD]]</f>
        <v>900000</v>
      </c>
    </row>
    <row r="11" spans="1:11">
      <c r="B11" s="188">
        <v>44653</v>
      </c>
      <c r="C11" s="191">
        <v>0.29166666666666669</v>
      </c>
      <c r="D11" s="191">
        <v>0.66666666666666663</v>
      </c>
      <c r="E11" s="1">
        <f t="shared" si="0"/>
        <v>0.37499999999999994</v>
      </c>
      <c r="F11" s="1">
        <f t="shared" si="1"/>
        <v>0</v>
      </c>
      <c r="G11" s="1"/>
      <c r="I11" s="3"/>
      <c r="J11" s="22"/>
      <c r="K11" s="3">
        <f>Tabla231411141618231159[[#This Row],[VALOR]]*Tabla231411141618231159[[#This Row],[CANTIDAD]]</f>
        <v>0</v>
      </c>
    </row>
    <row r="12" spans="1:11">
      <c r="B12" s="85">
        <v>44654</v>
      </c>
      <c r="C12" s="83">
        <v>0.27152777777777776</v>
      </c>
      <c r="D12" s="83">
        <v>0.58333333333333337</v>
      </c>
      <c r="E12" s="1">
        <f t="shared" si="0"/>
        <v>0.31180555555555561</v>
      </c>
      <c r="F12" s="1">
        <f t="shared" si="1"/>
        <v>-6.3194444444444386E-2</v>
      </c>
      <c r="G12" s="1"/>
      <c r="I12" s="3"/>
      <c r="J12" s="89"/>
      <c r="K12" s="3">
        <f>Tabla231411141618231159[[#This Row],[VALOR]]*Tabla231411141618231159[[#This Row],[CANTIDAD]]</f>
        <v>0</v>
      </c>
    </row>
    <row r="13" spans="1:11">
      <c r="B13" s="119">
        <v>44655</v>
      </c>
      <c r="C13" s="83"/>
      <c r="D13" s="83"/>
      <c r="E13" s="1">
        <f t="shared" si="0"/>
        <v>0</v>
      </c>
      <c r="F13" s="1">
        <v>0</v>
      </c>
      <c r="G13" s="1"/>
      <c r="I13" s="3"/>
      <c r="J13" s="22"/>
      <c r="K13" s="3">
        <f>Tabla231411141618231159[[#This Row],[VALOR]]*Tabla231411141618231159[[#This Row],[CANTIDAD]]</f>
        <v>0</v>
      </c>
    </row>
    <row r="14" spans="1:11">
      <c r="B14" s="120">
        <v>44656</v>
      </c>
      <c r="C14" s="83">
        <v>0.27847222222222223</v>
      </c>
      <c r="D14" s="1">
        <v>0.70694444444444449</v>
      </c>
      <c r="E14" s="1">
        <f t="shared" si="0"/>
        <v>0.42847222222222225</v>
      </c>
      <c r="F14" s="1">
        <f t="shared" si="1"/>
        <v>5.3472222222222254E-2</v>
      </c>
      <c r="G14" s="1"/>
      <c r="H14" t="s">
        <v>26</v>
      </c>
      <c r="J14" s="26"/>
      <c r="K14" s="9">
        <f>SUBTOTAL(109,Tabla231411141618231159[SUB TOTAL])</f>
        <v>900000</v>
      </c>
    </row>
    <row r="15" spans="1:11">
      <c r="B15" s="120">
        <v>44657</v>
      </c>
      <c r="C15" s="83">
        <v>0.27638888888888891</v>
      </c>
      <c r="D15" s="83"/>
      <c r="E15" s="1">
        <v>0</v>
      </c>
      <c r="F15" s="1">
        <v>0</v>
      </c>
      <c r="G15" s="1"/>
      <c r="H15" s="222" t="s">
        <v>27</v>
      </c>
      <c r="I15" s="222"/>
      <c r="J15" s="222"/>
      <c r="K15" s="222"/>
    </row>
    <row r="16" spans="1:11">
      <c r="B16" s="120">
        <v>44658</v>
      </c>
      <c r="C16" s="83">
        <v>0.27638888888888891</v>
      </c>
      <c r="D16" s="83">
        <v>0.70833333333333337</v>
      </c>
      <c r="E16" s="1">
        <f t="shared" si="0"/>
        <v>0.43194444444444446</v>
      </c>
      <c r="F16" s="1">
        <f t="shared" si="1"/>
        <v>5.6944444444444464E-2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44659</v>
      </c>
      <c r="C17" s="83">
        <v>0.27916666666666667</v>
      </c>
      <c r="D17" s="83">
        <v>0.75069444444444444</v>
      </c>
      <c r="E17" s="1">
        <f t="shared" si="0"/>
        <v>0.47152777777777777</v>
      </c>
      <c r="F17" s="1">
        <f t="shared" si="1"/>
        <v>9.6527777777777768E-2</v>
      </c>
      <c r="G17" s="1"/>
      <c r="H17" s="10">
        <v>44670</v>
      </c>
      <c r="I17" t="s">
        <v>30</v>
      </c>
      <c r="J17" s="22">
        <v>500000</v>
      </c>
      <c r="K17" s="9">
        <f>$K$14-J17</f>
        <v>400000</v>
      </c>
    </row>
    <row r="18" spans="1:15">
      <c r="B18" s="120">
        <v>44660</v>
      </c>
      <c r="C18" s="83">
        <v>0.2673611111111111</v>
      </c>
      <c r="D18" s="1"/>
      <c r="E18" s="1">
        <v>0</v>
      </c>
      <c r="F18" s="1">
        <v>0</v>
      </c>
      <c r="G18" s="1"/>
      <c r="H18" s="10"/>
      <c r="J18" s="21"/>
      <c r="K18" s="9">
        <f>K17-J18</f>
        <v>400000</v>
      </c>
    </row>
    <row r="19" spans="1:15">
      <c r="B19" s="85">
        <v>44661</v>
      </c>
      <c r="C19" s="1">
        <v>0.28749999999999998</v>
      </c>
      <c r="D19" s="1">
        <v>0.52916666666666667</v>
      </c>
      <c r="E19" s="1">
        <f t="shared" si="0"/>
        <v>0.2416666666666667</v>
      </c>
      <c r="F19" s="1">
        <f t="shared" si="1"/>
        <v>-0.1333333333333333</v>
      </c>
      <c r="G19" s="1"/>
      <c r="H19" s="10"/>
      <c r="J19" s="21"/>
      <c r="K19" s="9">
        <f>K18-J19</f>
        <v>400000</v>
      </c>
    </row>
    <row r="20" spans="1:15">
      <c r="B20" s="119">
        <v>44662</v>
      </c>
      <c r="C20" s="83"/>
      <c r="D20" s="1"/>
      <c r="E20" s="1">
        <f t="shared" si="0"/>
        <v>0</v>
      </c>
      <c r="F20" s="1">
        <v>0</v>
      </c>
      <c r="G20" s="1"/>
      <c r="H20" s="224" t="s">
        <v>31</v>
      </c>
      <c r="I20" s="224"/>
      <c r="J20" s="224"/>
      <c r="K20" s="224"/>
    </row>
    <row r="21" spans="1:15">
      <c r="B21" s="120">
        <v>44663</v>
      </c>
      <c r="C21" s="83">
        <v>0.26180555555555557</v>
      </c>
      <c r="D21" s="1">
        <v>0.71319444444444446</v>
      </c>
      <c r="E21" s="1">
        <f t="shared" si="0"/>
        <v>0.4513888888888889</v>
      </c>
      <c r="F21" s="1">
        <f t="shared" si="1"/>
        <v>7.6388888888888895E-2</v>
      </c>
      <c r="G21" s="1"/>
      <c r="H21" s="224"/>
      <c r="I21" s="224"/>
      <c r="J21" s="224"/>
      <c r="K21" s="224"/>
    </row>
    <row r="22" spans="1:15">
      <c r="B22" s="120">
        <v>44664</v>
      </c>
      <c r="C22" s="83">
        <v>0.27638888888888891</v>
      </c>
      <c r="D22" s="83">
        <v>0.71319444444444446</v>
      </c>
      <c r="E22" s="1">
        <f t="shared" si="0"/>
        <v>0.43680555555555556</v>
      </c>
      <c r="F22" s="1">
        <f t="shared" si="1"/>
        <v>6.1805555555555558E-2</v>
      </c>
      <c r="G22" s="1"/>
    </row>
    <row r="23" spans="1:15">
      <c r="B23" s="120">
        <v>44665</v>
      </c>
      <c r="C23" s="83">
        <v>0.31111111111111112</v>
      </c>
      <c r="D23" s="1">
        <v>0.70833333333333337</v>
      </c>
      <c r="E23" s="1">
        <f t="shared" si="0"/>
        <v>0.39722222222222225</v>
      </c>
      <c r="F23" s="1">
        <f t="shared" si="1"/>
        <v>2.2222222222222254E-2</v>
      </c>
      <c r="G23" s="1"/>
    </row>
    <row r="24" spans="1:15">
      <c r="B24" s="120"/>
      <c r="C24" s="1"/>
      <c r="D24" s="1"/>
      <c r="E24" s="1">
        <f t="shared" si="0"/>
        <v>0</v>
      </c>
      <c r="F24" s="1">
        <v>0</v>
      </c>
      <c r="G24" s="2"/>
    </row>
    <row r="25" spans="1:15" ht="15.75">
      <c r="B25" t="s">
        <v>26</v>
      </c>
      <c r="C25">
        <f>SUBTOTAL(102,Tabla130413571[ENTRADA])</f>
        <v>13</v>
      </c>
      <c r="E25" s="2">
        <f>SUBTOTAL(109,E9:E24)</f>
        <v>4.45</v>
      </c>
      <c r="F25" s="2">
        <f>SUBTOTAL(109,Tabla130413571[EXTRAS])</f>
        <v>0.32500000000000018</v>
      </c>
      <c r="G25" s="43"/>
    </row>
    <row r="26" spans="1:15" ht="15.75">
      <c r="C26" s="1"/>
      <c r="D26" s="6" t="s">
        <v>37</v>
      </c>
      <c r="E26" s="4">
        <f>Tabla130413571[[#Totals],[TOTAL]]-Tabla130413571[[#Totals],[EXTRAS]]</f>
        <v>4.125</v>
      </c>
      <c r="F26" s="5" t="s">
        <v>7</v>
      </c>
      <c r="G26" s="44"/>
    </row>
    <row r="27" spans="1:15" ht="15.75">
      <c r="C27" s="1"/>
      <c r="D27" s="7" t="s">
        <v>33</v>
      </c>
      <c r="E27" s="4">
        <f>Tabla130413571[[#Totals],[EXTRAS]]</f>
        <v>0.32500000000000018</v>
      </c>
      <c r="F27" s="8" t="s">
        <v>7</v>
      </c>
      <c r="G27" s="44"/>
    </row>
    <row r="28" spans="1:15" ht="15.75">
      <c r="D28" s="35" t="s">
        <v>34</v>
      </c>
      <c r="E28" s="27">
        <v>11</v>
      </c>
      <c r="F28" s="27" t="s">
        <v>35</v>
      </c>
    </row>
    <row r="29" spans="1:15" ht="15.75">
      <c r="A29" s="189" t="s">
        <v>39</v>
      </c>
      <c r="B29" s="160" t="s">
        <v>40</v>
      </c>
      <c r="C29" s="160">
        <v>200</v>
      </c>
      <c r="D29" s="160" t="s">
        <v>40</v>
      </c>
      <c r="E29" s="160" t="s">
        <v>40</v>
      </c>
      <c r="F29" s="160" t="s">
        <v>40</v>
      </c>
      <c r="G29" s="160" t="s">
        <v>40</v>
      </c>
      <c r="H29" s="160" t="s">
        <v>40</v>
      </c>
      <c r="I29" s="160" t="s">
        <v>41</v>
      </c>
      <c r="J29" s="160" t="s">
        <v>40</v>
      </c>
      <c r="K29" s="160" t="s">
        <v>132</v>
      </c>
      <c r="L29" s="160" t="s">
        <v>40</v>
      </c>
      <c r="M29" s="160" t="s">
        <v>40</v>
      </c>
      <c r="N29" s="160" t="s">
        <v>40</v>
      </c>
      <c r="O29" s="160" t="s">
        <v>40</v>
      </c>
    </row>
    <row r="30" spans="1:15" ht="24">
      <c r="A30" s="161" t="s">
        <v>133</v>
      </c>
      <c r="B30" s="162" t="s">
        <v>134</v>
      </c>
      <c r="C30" s="162" t="s">
        <v>40</v>
      </c>
      <c r="D30" s="163">
        <v>0.27152777777777776</v>
      </c>
      <c r="E30" s="162" t="s">
        <v>40</v>
      </c>
      <c r="F30" s="162" t="s">
        <v>135</v>
      </c>
      <c r="G30" s="163">
        <v>0.27638888888888891</v>
      </c>
      <c r="H30" s="162" t="s">
        <v>136</v>
      </c>
      <c r="I30" s="162" t="s">
        <v>137</v>
      </c>
      <c r="J30" s="163">
        <v>0.2673611111111111</v>
      </c>
      <c r="K30" s="162" t="s">
        <v>138</v>
      </c>
      <c r="L30" s="162" t="s">
        <v>40</v>
      </c>
      <c r="M30" s="162" t="s">
        <v>139</v>
      </c>
      <c r="N30" s="162" t="s">
        <v>140</v>
      </c>
      <c r="O30" s="163">
        <v>0.31111111111111112</v>
      </c>
    </row>
  </sheetData>
  <mergeCells count="4">
    <mergeCell ref="C4:D4"/>
    <mergeCell ref="H5:K6"/>
    <mergeCell ref="H15:K15"/>
    <mergeCell ref="H20:K21"/>
  </mergeCells>
  <conditionalFormatting sqref="C9">
    <cfRule type="cellIs" dxfId="389" priority="2" operator="greaterThan">
      <formula>0.298611111111111</formula>
    </cfRule>
  </conditionalFormatting>
  <conditionalFormatting sqref="C10:C24">
    <cfRule type="cellIs" dxfId="388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0D27-3BC4-4930-A222-2BE103607764}">
  <dimension ref="A2:O30"/>
  <sheetViews>
    <sheetView topLeftCell="A5" workbookViewId="0">
      <selection activeCell="I24" sqref="I24"/>
    </sheetView>
  </sheetViews>
  <sheetFormatPr defaultColWidth="11.42578125" defaultRowHeight="15"/>
  <cols>
    <col min="2" max="2" width="34.28515625" bestFit="1" customWidth="1"/>
    <col min="5" max="5" width="11.7109375" bestFit="1" customWidth="1"/>
    <col min="8" max="8" width="13" bestFit="1" customWidth="1"/>
    <col min="9" max="9" width="13.140625" bestFit="1" customWidth="1"/>
    <col min="10" max="10" width="11.85546875" bestFit="1" customWidth="1"/>
    <col min="11" max="11" width="15.1406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25"/>
      <c r="D4" s="231"/>
    </row>
    <row r="5" spans="2:11" ht="15" customHeight="1">
      <c r="B5" s="18" t="s">
        <v>6</v>
      </c>
      <c r="C5" s="19">
        <v>0.375</v>
      </c>
      <c r="D5" s="20" t="s">
        <v>7</v>
      </c>
      <c r="H5" s="216" t="s">
        <v>8</v>
      </c>
      <c r="I5" s="217"/>
      <c r="J5" s="217"/>
      <c r="K5" s="218"/>
    </row>
    <row r="6" spans="2:11">
      <c r="E6" s="23" t="s">
        <v>9</v>
      </c>
      <c r="F6" s="24">
        <f ca="1">TODAY()</f>
        <v>44716</v>
      </c>
      <c r="G6" s="42"/>
      <c r="H6" s="219"/>
      <c r="I6" s="220"/>
      <c r="J6" s="220"/>
      <c r="K6" s="221"/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s="45" t="s">
        <v>10</v>
      </c>
      <c r="I7" s="49" t="s">
        <v>141</v>
      </c>
      <c r="J7" s="47" t="s">
        <v>9</v>
      </c>
      <c r="K7" s="48">
        <f ca="1">TODAY()</f>
        <v>44716</v>
      </c>
    </row>
    <row r="8" spans="2:11">
      <c r="B8" s="120">
        <v>44651</v>
      </c>
      <c r="C8" s="83">
        <v>0.29166666666666669</v>
      </c>
      <c r="D8" s="83">
        <v>0.5083333333333333</v>
      </c>
      <c r="E8" s="1">
        <f t="shared" ref="E8:E23" si="0">D8-C8</f>
        <v>0.21666666666666662</v>
      </c>
      <c r="F8" s="1">
        <v>0</v>
      </c>
      <c r="G8" s="1"/>
      <c r="H8" t="s">
        <v>16</v>
      </c>
      <c r="I8" t="s">
        <v>17</v>
      </c>
      <c r="J8" s="22" t="s">
        <v>18</v>
      </c>
      <c r="K8" t="s">
        <v>19</v>
      </c>
    </row>
    <row r="9" spans="2:11">
      <c r="B9" s="188">
        <v>44652</v>
      </c>
      <c r="C9" s="191">
        <v>0.29166666666666669</v>
      </c>
      <c r="D9" s="191">
        <v>0.70833333333333337</v>
      </c>
      <c r="E9" s="1">
        <v>0.79166666666666663</v>
      </c>
      <c r="F9" s="1">
        <v>0.41666666666666669</v>
      </c>
      <c r="G9" s="1"/>
      <c r="H9" t="s">
        <v>20</v>
      </c>
      <c r="I9" s="3">
        <v>3700</v>
      </c>
      <c r="J9" s="22">
        <v>70</v>
      </c>
      <c r="K9" s="3">
        <f>Tabla2314111416[[#This Row],[VALOR]]*Tabla2314111416[[#This Row],[CANTIDAD]]</f>
        <v>259000</v>
      </c>
    </row>
    <row r="10" spans="2:11">
      <c r="B10" s="188">
        <v>44653</v>
      </c>
      <c r="C10" s="191">
        <v>0.29166666666666669</v>
      </c>
      <c r="D10" s="191">
        <v>0.66666666666666663</v>
      </c>
      <c r="E10" s="1">
        <f t="shared" si="0"/>
        <v>0.37499999999999994</v>
      </c>
      <c r="F10" s="1">
        <f t="shared" ref="F8:F22" si="1">E10-$C$5</f>
        <v>0</v>
      </c>
      <c r="G10" s="1"/>
      <c r="H10" t="s">
        <v>21</v>
      </c>
      <c r="I10" s="3">
        <v>5550</v>
      </c>
      <c r="J10" s="22">
        <v>13</v>
      </c>
      <c r="K10" s="3">
        <f>Tabla2314111416[[#This Row],[VALOR]]*Tabla2314111416[[#This Row],[CANTIDAD]]</f>
        <v>72150</v>
      </c>
    </row>
    <row r="11" spans="2:11">
      <c r="B11" s="85">
        <v>44654</v>
      </c>
      <c r="C11" s="83"/>
      <c r="D11" s="83"/>
      <c r="E11" s="1">
        <f t="shared" si="0"/>
        <v>0</v>
      </c>
      <c r="F11" s="1">
        <v>0</v>
      </c>
      <c r="G11" s="1"/>
      <c r="H11" t="s">
        <v>142</v>
      </c>
      <c r="I11" s="3">
        <v>4000</v>
      </c>
      <c r="J11" s="22">
        <v>7</v>
      </c>
      <c r="K11" s="3">
        <f>Tabla2314111416[[#This Row],[VALOR]]*Tabla2314111416[[#This Row],[CANTIDAD]]</f>
        <v>28000</v>
      </c>
    </row>
    <row r="12" spans="2:11">
      <c r="B12" s="119">
        <v>44655</v>
      </c>
      <c r="C12" s="83"/>
      <c r="D12" s="83"/>
      <c r="E12" s="1">
        <f t="shared" si="0"/>
        <v>0</v>
      </c>
      <c r="F12" s="1">
        <v>0</v>
      </c>
      <c r="G12" s="1"/>
      <c r="H12" t="s">
        <v>25</v>
      </c>
      <c r="I12" s="3">
        <v>70000</v>
      </c>
      <c r="J12" s="89"/>
      <c r="K12" s="3">
        <f>Tabla2314111416[[#This Row],[VALOR]]*Tabla2314111416[[#This Row],[CANTIDAD]]</f>
        <v>0</v>
      </c>
    </row>
    <row r="13" spans="2:11">
      <c r="B13" s="194">
        <v>44656</v>
      </c>
      <c r="C13" s="83"/>
      <c r="D13" s="1"/>
      <c r="E13" s="1">
        <f t="shared" si="0"/>
        <v>0</v>
      </c>
      <c r="F13" s="1">
        <v>0</v>
      </c>
      <c r="G13" s="1"/>
      <c r="I13" s="3"/>
      <c r="J13" s="22"/>
      <c r="K13" s="3">
        <f>Tabla2314111416[[#This Row],[VALOR]]*Tabla2314111416[[#This Row],[CANTIDAD]]</f>
        <v>0</v>
      </c>
    </row>
    <row r="14" spans="2:11">
      <c r="B14" s="120">
        <v>44657</v>
      </c>
      <c r="C14" s="83">
        <v>0.29166666666666669</v>
      </c>
      <c r="D14" s="83">
        <v>0.70625000000000004</v>
      </c>
      <c r="E14" s="1">
        <f t="shared" si="0"/>
        <v>0.41458333333333336</v>
      </c>
      <c r="F14" s="1">
        <f t="shared" si="1"/>
        <v>3.9583333333333359E-2</v>
      </c>
      <c r="G14" s="1"/>
      <c r="H14" t="s">
        <v>26</v>
      </c>
      <c r="J14" s="26"/>
      <c r="K14" s="9">
        <f>SUBTOTAL(109,Tabla2314111416[SUB TOTAL])</f>
        <v>359150</v>
      </c>
    </row>
    <row r="15" spans="2:11">
      <c r="B15" s="120">
        <v>44658</v>
      </c>
      <c r="C15" s="83">
        <v>0.29166666666666669</v>
      </c>
      <c r="D15" s="83">
        <v>0.70833333333333337</v>
      </c>
      <c r="E15" s="1">
        <f t="shared" si="0"/>
        <v>0.41666666666666669</v>
      </c>
      <c r="F15" s="1">
        <f t="shared" si="1"/>
        <v>4.1666666666666685E-2</v>
      </c>
      <c r="G15" s="1"/>
      <c r="H15" s="222" t="s">
        <v>27</v>
      </c>
      <c r="I15" s="222"/>
      <c r="J15" s="222"/>
      <c r="K15" s="222"/>
    </row>
    <row r="16" spans="2:11">
      <c r="B16" s="120">
        <v>44659</v>
      </c>
      <c r="C16" s="83">
        <v>0.29166666666666669</v>
      </c>
      <c r="D16" s="83">
        <v>0.70625000000000004</v>
      </c>
      <c r="E16" s="1">
        <f t="shared" si="0"/>
        <v>0.41458333333333336</v>
      </c>
      <c r="F16" s="1">
        <f t="shared" ref="F15:F23" si="2">E16-$C$5</f>
        <v>3.9583333333333359E-2</v>
      </c>
      <c r="G16" s="1"/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94">
        <v>44660</v>
      </c>
      <c r="C17" s="83"/>
      <c r="D17" s="1"/>
      <c r="E17" s="1">
        <f t="shared" si="0"/>
        <v>0</v>
      </c>
      <c r="F17" s="1">
        <v>0</v>
      </c>
      <c r="G17" s="1"/>
      <c r="H17" s="10"/>
      <c r="J17" s="22"/>
      <c r="K17" s="9">
        <f t="shared" ref="K17:K19" si="3">K14-J17</f>
        <v>359150</v>
      </c>
    </row>
    <row r="18" spans="1:15">
      <c r="B18" s="85">
        <v>44661</v>
      </c>
      <c r="C18" s="1"/>
      <c r="D18" s="1"/>
      <c r="E18" s="1">
        <f t="shared" si="0"/>
        <v>0</v>
      </c>
      <c r="F18" s="1">
        <v>0</v>
      </c>
      <c r="G18" s="1"/>
      <c r="H18" s="10"/>
      <c r="J18" s="21">
        <v>0</v>
      </c>
      <c r="K18" s="9">
        <f>K17-J18</f>
        <v>359150</v>
      </c>
    </row>
    <row r="19" spans="1:15">
      <c r="B19" s="119">
        <v>44662</v>
      </c>
      <c r="C19" s="83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359150</v>
      </c>
    </row>
    <row r="20" spans="1:15">
      <c r="B20" s="120">
        <v>44663</v>
      </c>
      <c r="C20" s="83">
        <v>0.29166666666666669</v>
      </c>
      <c r="D20" s="1">
        <v>0.70763888888888893</v>
      </c>
      <c r="E20" s="1">
        <f t="shared" si="0"/>
        <v>0.41597222222222224</v>
      </c>
      <c r="F20" s="1">
        <f t="shared" si="1"/>
        <v>4.0972222222222243E-2</v>
      </c>
      <c r="G20" s="1"/>
      <c r="H20" s="224"/>
      <c r="I20" s="224"/>
      <c r="J20" s="224"/>
      <c r="K20" s="224"/>
    </row>
    <row r="21" spans="1:15">
      <c r="B21" s="120">
        <v>44664</v>
      </c>
      <c r="C21" s="83">
        <v>0.29166666666666669</v>
      </c>
      <c r="D21" s="83">
        <v>0.70833333333333337</v>
      </c>
      <c r="E21" s="1">
        <f t="shared" si="0"/>
        <v>0.41666666666666669</v>
      </c>
      <c r="F21" s="1">
        <f t="shared" si="1"/>
        <v>4.1666666666666685E-2</v>
      </c>
      <c r="G21" s="1"/>
      <c r="H21" s="224"/>
      <c r="I21" s="224"/>
      <c r="J21" s="224"/>
      <c r="K21" s="224"/>
    </row>
    <row r="22" spans="1:15">
      <c r="B22" s="194">
        <v>44665</v>
      </c>
      <c r="C22" s="83"/>
      <c r="D22" s="1"/>
      <c r="E22" s="1">
        <f t="shared" si="0"/>
        <v>0</v>
      </c>
      <c r="F22" s="1">
        <v>0</v>
      </c>
      <c r="G22" s="1"/>
    </row>
    <row r="23" spans="1:15">
      <c r="B23" s="120"/>
      <c r="C23" s="1"/>
      <c r="D23" s="1"/>
      <c r="E23" s="1">
        <f t="shared" si="0"/>
        <v>0</v>
      </c>
      <c r="F23" s="1">
        <v>0</v>
      </c>
      <c r="G23" s="2"/>
    </row>
    <row r="24" spans="1:15">
      <c r="B24" t="s">
        <v>26</v>
      </c>
      <c r="C24">
        <f>SUBTOTAL(102,Tabla130[ENTRADA])</f>
        <v>11</v>
      </c>
      <c r="E24" s="2">
        <f>SUBTOTAL(109,E8:E23)</f>
        <v>3.4618055555555554</v>
      </c>
      <c r="F24" s="2">
        <f>SUBTOTAL(109,Tabla13038[EXTRAS])</f>
        <v>0.62013888888888902</v>
      </c>
      <c r="G24" s="44"/>
    </row>
    <row r="25" spans="1:15" ht="15.75">
      <c r="C25" s="1"/>
      <c r="D25" s="6" t="s">
        <v>37</v>
      </c>
      <c r="E25" s="4">
        <f>Tabla13038[[#Totals],[TOTAL]]-Tabla13038[[#Totals],[EXTRAS]]</f>
        <v>2.8416666666666663</v>
      </c>
      <c r="F25" s="5" t="s">
        <v>7</v>
      </c>
      <c r="G25" s="43"/>
    </row>
    <row r="26" spans="1:15" ht="15.75">
      <c r="C26" s="1"/>
      <c r="D26" s="7" t="s">
        <v>33</v>
      </c>
      <c r="E26" s="4">
        <f>Tabla13038[[#Totals],[EXTRAS]]</f>
        <v>0.62013888888888902</v>
      </c>
      <c r="F26" s="8" t="s">
        <v>7</v>
      </c>
      <c r="G26" s="43"/>
    </row>
    <row r="27" spans="1:15" ht="15.75">
      <c r="D27" s="35" t="s">
        <v>34</v>
      </c>
      <c r="E27" s="27">
        <v>11</v>
      </c>
      <c r="F27" s="27" t="s">
        <v>35</v>
      </c>
      <c r="G27" s="44"/>
    </row>
    <row r="28" spans="1:15">
      <c r="D28" s="36" t="s">
        <v>36</v>
      </c>
      <c r="E28" s="28">
        <v>2</v>
      </c>
      <c r="F28" s="28" t="s">
        <v>35</v>
      </c>
    </row>
    <row r="29" spans="1:15" ht="15.75">
      <c r="A29" s="189" t="s">
        <v>39</v>
      </c>
      <c r="B29" s="160" t="s">
        <v>40</v>
      </c>
      <c r="C29" s="160">
        <v>31</v>
      </c>
      <c r="D29" s="160" t="s">
        <v>40</v>
      </c>
      <c r="E29" s="160" t="s">
        <v>40</v>
      </c>
      <c r="F29" s="160" t="s">
        <v>40</v>
      </c>
      <c r="G29" s="160" t="s">
        <v>40</v>
      </c>
      <c r="H29" s="160" t="s">
        <v>40</v>
      </c>
      <c r="I29" s="160" t="s">
        <v>41</v>
      </c>
      <c r="J29" s="160" t="s">
        <v>40</v>
      </c>
      <c r="K29" s="160" t="s">
        <v>141</v>
      </c>
      <c r="L29" s="190"/>
      <c r="M29" s="160" t="s">
        <v>40</v>
      </c>
      <c r="N29" s="160" t="s">
        <v>40</v>
      </c>
      <c r="O29" s="160" t="s">
        <v>40</v>
      </c>
    </row>
    <row r="30" spans="1:15" ht="24">
      <c r="A30" s="161" t="s">
        <v>143</v>
      </c>
      <c r="B30" s="162" t="s">
        <v>144</v>
      </c>
      <c r="C30" s="162" t="s">
        <v>40</v>
      </c>
      <c r="D30" s="162" t="s">
        <v>40</v>
      </c>
      <c r="E30" s="162" t="s">
        <v>40</v>
      </c>
      <c r="F30" s="162" t="s">
        <v>40</v>
      </c>
      <c r="G30" s="162" t="s">
        <v>145</v>
      </c>
      <c r="H30" s="162" t="s">
        <v>146</v>
      </c>
      <c r="I30" s="162" t="s">
        <v>147</v>
      </c>
      <c r="J30" s="162" t="s">
        <v>40</v>
      </c>
      <c r="K30" s="162" t="s">
        <v>40</v>
      </c>
      <c r="L30" s="162" t="s">
        <v>40</v>
      </c>
      <c r="M30" s="162" t="s">
        <v>148</v>
      </c>
      <c r="N30" s="162" t="s">
        <v>136</v>
      </c>
      <c r="O30" s="162" t="s">
        <v>40</v>
      </c>
    </row>
  </sheetData>
  <mergeCells count="4">
    <mergeCell ref="H15:K15"/>
    <mergeCell ref="H20:K21"/>
    <mergeCell ref="C4:D4"/>
    <mergeCell ref="H5:K6"/>
  </mergeCells>
  <conditionalFormatting sqref="C8">
    <cfRule type="cellIs" dxfId="377" priority="2" operator="greaterThan">
      <formula>0.298611111111111</formula>
    </cfRule>
  </conditionalFormatting>
  <conditionalFormatting sqref="C9:C23">
    <cfRule type="cellIs" dxfId="376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34D7-D5AB-4C17-BAF0-269459D2E8AF}">
  <dimension ref="A1:O30"/>
  <sheetViews>
    <sheetView topLeftCell="A5" workbookViewId="0">
      <selection activeCell="N21" sqref="N21"/>
    </sheetView>
  </sheetViews>
  <sheetFormatPr defaultColWidth="9.140625" defaultRowHeight="15"/>
  <cols>
    <col min="1" max="1" width="8.28515625" customWidth="1"/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3" bestFit="1" customWidth="1"/>
    <col min="9" max="9" width="14.28515625" customWidth="1"/>
    <col min="10" max="10" width="11.5703125" bestFit="1" customWidth="1"/>
    <col min="11" max="11" width="16.140625" customWidth="1"/>
    <col min="14" max="14" width="11.85546875" customWidth="1"/>
    <col min="16" max="16" width="13" customWidth="1"/>
  </cols>
  <sheetData>
    <row r="1" spans="1:11">
      <c r="A1" s="3"/>
    </row>
    <row r="2" spans="1:11" ht="15.75">
      <c r="A2" s="3"/>
      <c r="B2" s="11" t="s">
        <v>0</v>
      </c>
      <c r="C2" s="12" t="s">
        <v>1</v>
      </c>
      <c r="D2" s="13" t="s">
        <v>2</v>
      </c>
    </row>
    <row r="3" spans="1:11">
      <c r="A3" s="3"/>
      <c r="B3" s="14" t="s">
        <v>3</v>
      </c>
      <c r="C3" s="15"/>
      <c r="D3" s="34"/>
    </row>
    <row r="4" spans="1:11">
      <c r="A4" s="3"/>
      <c r="B4" s="17" t="s">
        <v>4</v>
      </c>
      <c r="C4" s="225"/>
      <c r="D4" s="231"/>
    </row>
    <row r="5" spans="1:11" ht="15" customHeight="1">
      <c r="B5" s="18" t="s">
        <v>6</v>
      </c>
      <c r="C5" s="19">
        <v>0.375</v>
      </c>
      <c r="D5" s="20" t="s">
        <v>7</v>
      </c>
      <c r="H5" s="216" t="s">
        <v>8</v>
      </c>
      <c r="I5" s="217"/>
      <c r="J5" s="217"/>
      <c r="K5" s="218"/>
    </row>
    <row r="6" spans="1:11" ht="15" customHeight="1">
      <c r="H6" s="219"/>
      <c r="I6" s="220"/>
      <c r="J6" s="220"/>
      <c r="K6" s="221"/>
    </row>
    <row r="7" spans="1:11">
      <c r="E7" s="23" t="s">
        <v>9</v>
      </c>
      <c r="F7" s="24">
        <f ca="1">TODAY()</f>
        <v>44716</v>
      </c>
      <c r="G7" s="42"/>
      <c r="H7" s="45" t="s">
        <v>10</v>
      </c>
      <c r="I7" s="49" t="s">
        <v>149</v>
      </c>
      <c r="J7" s="47" t="s">
        <v>9</v>
      </c>
      <c r="K7" s="48">
        <f ca="1">TODAY()</f>
        <v>44716</v>
      </c>
    </row>
    <row r="8" spans="1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3"/>
      <c r="H8" t="s">
        <v>16</v>
      </c>
      <c r="I8" t="s">
        <v>17</v>
      </c>
      <c r="J8" s="22" t="s">
        <v>18</v>
      </c>
      <c r="K8" t="s">
        <v>19</v>
      </c>
    </row>
    <row r="9" spans="1:11">
      <c r="B9" s="120">
        <v>44651</v>
      </c>
      <c r="C9" s="83">
        <v>0.29236111111111113</v>
      </c>
      <c r="D9" s="83">
        <v>0.72222222222222221</v>
      </c>
      <c r="E9" s="1">
        <f t="shared" ref="E9:E24" si="0">D9-C9</f>
        <v>0.42986111111111108</v>
      </c>
      <c r="F9" s="1">
        <f t="shared" ref="F9:F24" si="1">E9-$C$5</f>
        <v>5.4861111111111083E-2</v>
      </c>
      <c r="G9" s="1"/>
      <c r="H9" t="s">
        <v>20</v>
      </c>
      <c r="I9" s="3">
        <v>3700</v>
      </c>
      <c r="J9" s="22">
        <v>47</v>
      </c>
      <c r="K9" s="3">
        <f>Tabla2314111416182311[[#This Row],[VALOR]]*Tabla2314111416182311[[#This Row],[CANTIDAD]]</f>
        <v>173900</v>
      </c>
    </row>
    <row r="10" spans="1:11">
      <c r="B10" s="188">
        <v>44652</v>
      </c>
      <c r="C10" s="191">
        <v>0.29236111111111113</v>
      </c>
      <c r="D10" s="191">
        <v>0.71527777777777779</v>
      </c>
      <c r="E10" s="1">
        <v>0.79791666666666672</v>
      </c>
      <c r="F10" s="1">
        <v>0.42291666666666666</v>
      </c>
      <c r="G10" s="1"/>
      <c r="H10" t="s">
        <v>21</v>
      </c>
      <c r="I10" s="3">
        <v>5550</v>
      </c>
      <c r="J10" s="22">
        <v>14</v>
      </c>
      <c r="K10" s="3">
        <f>Tabla2314111416182311[[#This Row],[VALOR]]*Tabla2314111416182311[[#This Row],[CANTIDAD]]</f>
        <v>77700</v>
      </c>
    </row>
    <row r="11" spans="1:11">
      <c r="B11" s="188">
        <v>44653</v>
      </c>
      <c r="C11" s="191">
        <v>0.29166666666666669</v>
      </c>
      <c r="D11" s="191">
        <v>0.66666666666666663</v>
      </c>
      <c r="E11" s="1">
        <f t="shared" si="0"/>
        <v>0.37499999999999994</v>
      </c>
      <c r="F11" s="1">
        <f t="shared" si="1"/>
        <v>0</v>
      </c>
      <c r="G11" s="1"/>
      <c r="H11" t="s">
        <v>23</v>
      </c>
      <c r="I11" s="3">
        <v>4000</v>
      </c>
      <c r="J11" s="22">
        <v>5</v>
      </c>
      <c r="K11" s="3">
        <f>Tabla2314111416182311[[#This Row],[VALOR]]*Tabla2314111416182311[[#This Row],[CANTIDAD]]</f>
        <v>20000</v>
      </c>
    </row>
    <row r="12" spans="1:11">
      <c r="B12" s="85">
        <v>44654</v>
      </c>
      <c r="C12" s="83"/>
      <c r="D12" s="83"/>
      <c r="E12" s="1">
        <f t="shared" si="0"/>
        <v>0</v>
      </c>
      <c r="F12" s="1">
        <v>0</v>
      </c>
      <c r="G12" s="1"/>
      <c r="H12" t="s">
        <v>25</v>
      </c>
      <c r="I12" s="3">
        <v>70000</v>
      </c>
      <c r="J12" s="89"/>
      <c r="K12" s="3">
        <f>Tabla2314111416182311[[#This Row],[VALOR]]*Tabla2314111416182311[[#This Row],[CANTIDAD]]</f>
        <v>0</v>
      </c>
    </row>
    <row r="13" spans="1:11">
      <c r="B13" s="119">
        <v>44655</v>
      </c>
      <c r="C13" s="83"/>
      <c r="D13" s="83"/>
      <c r="E13" s="1">
        <f t="shared" si="0"/>
        <v>0</v>
      </c>
      <c r="F13" s="1">
        <v>0</v>
      </c>
      <c r="G13" s="1"/>
      <c r="H13" t="s">
        <v>150</v>
      </c>
      <c r="I13" s="3"/>
      <c r="J13" s="22"/>
      <c r="K13" s="3">
        <f>Tabla2314111416182311[[#This Row],[VALOR]]*Tabla2314111416182311[[#This Row],[CANTIDAD]]</f>
        <v>0</v>
      </c>
    </row>
    <row r="14" spans="1:11">
      <c r="B14" s="194">
        <v>44656</v>
      </c>
      <c r="C14" s="83"/>
      <c r="D14" s="1"/>
      <c r="E14" s="1">
        <f t="shared" si="0"/>
        <v>0</v>
      </c>
      <c r="F14" s="1">
        <v>0</v>
      </c>
      <c r="G14" s="1"/>
      <c r="H14" t="s">
        <v>26</v>
      </c>
      <c r="J14" s="26"/>
      <c r="K14" s="9">
        <f>SUBTOTAL(109,Tabla2314111416182311[SUB TOTAL])</f>
        <v>271600</v>
      </c>
    </row>
    <row r="15" spans="1:11">
      <c r="B15" s="120">
        <v>44657</v>
      </c>
      <c r="C15" s="83">
        <v>0.29652777777777778</v>
      </c>
      <c r="D15" s="83">
        <v>0.70694444444444449</v>
      </c>
      <c r="E15" s="1">
        <f t="shared" si="0"/>
        <v>0.41041666666666671</v>
      </c>
      <c r="F15" s="1">
        <f t="shared" si="1"/>
        <v>3.5416666666666707E-2</v>
      </c>
      <c r="G15" s="1"/>
      <c r="H15" s="222" t="s">
        <v>27</v>
      </c>
      <c r="I15" s="222"/>
      <c r="J15" s="222"/>
      <c r="K15" s="222"/>
    </row>
    <row r="16" spans="1:11">
      <c r="B16" s="120">
        <v>44658</v>
      </c>
      <c r="C16" s="83">
        <v>0.30555555555555558</v>
      </c>
      <c r="D16" s="83">
        <v>0.74791666666666667</v>
      </c>
      <c r="E16" s="1">
        <f t="shared" si="0"/>
        <v>0.44236111111111109</v>
      </c>
      <c r="F16" s="1">
        <f t="shared" si="1"/>
        <v>6.7361111111111094E-2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44659</v>
      </c>
      <c r="C17" s="83">
        <v>0.2951388888888889</v>
      </c>
      <c r="D17" s="83">
        <v>0.39930555555555558</v>
      </c>
      <c r="E17" s="1">
        <f t="shared" si="0"/>
        <v>0.10416666666666669</v>
      </c>
      <c r="F17" s="1">
        <v>0</v>
      </c>
      <c r="G17" s="1"/>
      <c r="H17" s="10"/>
      <c r="J17" s="22"/>
      <c r="K17" s="9">
        <f>$K$14-J17</f>
        <v>271600</v>
      </c>
    </row>
    <row r="18" spans="1:15">
      <c r="B18" s="120">
        <v>44660</v>
      </c>
      <c r="C18" s="83"/>
      <c r="D18" s="1"/>
      <c r="E18" s="1">
        <f t="shared" si="0"/>
        <v>0</v>
      </c>
      <c r="F18" s="1">
        <v>0</v>
      </c>
      <c r="G18" s="1"/>
      <c r="H18" s="10"/>
      <c r="J18" s="21"/>
      <c r="K18" s="9">
        <f>K17-J18</f>
        <v>271600</v>
      </c>
    </row>
    <row r="19" spans="1:15">
      <c r="B19" s="85">
        <v>44661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271600</v>
      </c>
    </row>
    <row r="20" spans="1:15">
      <c r="B20" s="119">
        <v>44662</v>
      </c>
      <c r="C20" s="83"/>
      <c r="D20" s="1"/>
      <c r="E20" s="1">
        <f t="shared" si="0"/>
        <v>0</v>
      </c>
      <c r="F20" s="1">
        <v>0</v>
      </c>
      <c r="G20" s="1"/>
      <c r="H20" s="224" t="s">
        <v>31</v>
      </c>
      <c r="I20" s="224"/>
      <c r="J20" s="224"/>
      <c r="K20" s="224"/>
    </row>
    <row r="21" spans="1:15">
      <c r="B21" s="120">
        <v>44663</v>
      </c>
      <c r="C21" s="83"/>
      <c r="D21" s="1"/>
      <c r="E21" s="1">
        <f t="shared" si="0"/>
        <v>0</v>
      </c>
      <c r="F21" s="1">
        <v>0</v>
      </c>
      <c r="G21" s="1"/>
      <c r="H21" s="224"/>
      <c r="I21" s="224"/>
      <c r="J21" s="224"/>
      <c r="K21" s="224"/>
    </row>
    <row r="22" spans="1:15">
      <c r="B22" s="120">
        <v>44664</v>
      </c>
      <c r="C22" s="83"/>
      <c r="D22" s="83"/>
      <c r="E22" s="1">
        <f t="shared" si="0"/>
        <v>0</v>
      </c>
      <c r="F22" s="1">
        <v>0</v>
      </c>
      <c r="G22" s="1"/>
    </row>
    <row r="23" spans="1:15">
      <c r="B23" s="120">
        <v>44665</v>
      </c>
      <c r="C23" s="83"/>
      <c r="D23" s="1"/>
      <c r="E23" s="1">
        <f t="shared" si="0"/>
        <v>0</v>
      </c>
      <c r="F23" s="1">
        <v>0</v>
      </c>
      <c r="G23" s="1"/>
    </row>
    <row r="24" spans="1:15">
      <c r="B24" s="120"/>
      <c r="C24" s="1"/>
      <c r="D24" s="1"/>
      <c r="E24" s="1">
        <f t="shared" si="0"/>
        <v>0</v>
      </c>
      <c r="F24" s="1">
        <v>0</v>
      </c>
      <c r="G24" s="2"/>
    </row>
    <row r="25" spans="1:15" ht="15.75">
      <c r="B25" t="s">
        <v>26</v>
      </c>
      <c r="C25">
        <f>SUBTOTAL(102,Tabla1304135[ENTRADA])</f>
        <v>6</v>
      </c>
      <c r="E25" s="2">
        <f>SUBTOTAL(109,E9:E24)</f>
        <v>2.5597222222222222</v>
      </c>
      <c r="F25" s="2">
        <f>SUBTOTAL(109,Tabla1304135[EXTRAS])</f>
        <v>0.5805555555555556</v>
      </c>
      <c r="G25" s="43"/>
    </row>
    <row r="26" spans="1:15" ht="15.75">
      <c r="C26" s="1"/>
      <c r="D26" s="6" t="s">
        <v>37</v>
      </c>
      <c r="E26" s="4">
        <f>Tabla1304135[[#Totals],[TOTAL]]-Tabla1304135[[#Totals],[EXTRAS]]</f>
        <v>1.9791666666666665</v>
      </c>
      <c r="F26" s="5" t="s">
        <v>7</v>
      </c>
      <c r="G26" s="44"/>
    </row>
    <row r="27" spans="1:15" ht="15.75">
      <c r="C27" s="1"/>
      <c r="D27" s="7" t="s">
        <v>33</v>
      </c>
      <c r="E27" s="4">
        <f>Tabla1304135[[#Totals],[EXTRAS]]</f>
        <v>0.5805555555555556</v>
      </c>
      <c r="F27" s="8" t="s">
        <v>7</v>
      </c>
      <c r="G27" s="44"/>
    </row>
    <row r="28" spans="1:15" ht="15.75">
      <c r="D28" s="35" t="s">
        <v>34</v>
      </c>
      <c r="E28" s="27">
        <v>11</v>
      </c>
      <c r="F28" s="27" t="s">
        <v>35</v>
      </c>
    </row>
    <row r="29" spans="1:15" ht="15.75">
      <c r="A29" s="189" t="s">
        <v>39</v>
      </c>
      <c r="B29" s="160" t="s">
        <v>40</v>
      </c>
      <c r="C29" s="160">
        <v>32</v>
      </c>
      <c r="D29" s="160" t="s">
        <v>40</v>
      </c>
      <c r="E29" s="160" t="s">
        <v>40</v>
      </c>
      <c r="F29" s="160" t="s">
        <v>40</v>
      </c>
      <c r="G29" s="160" t="s">
        <v>40</v>
      </c>
      <c r="H29" s="160" t="s">
        <v>40</v>
      </c>
      <c r="I29" s="160" t="s">
        <v>41</v>
      </c>
      <c r="J29" s="160" t="s">
        <v>40</v>
      </c>
      <c r="K29" s="160" t="s">
        <v>149</v>
      </c>
      <c r="L29" s="190"/>
      <c r="M29" s="160" t="s">
        <v>40</v>
      </c>
      <c r="N29" s="160" t="s">
        <v>40</v>
      </c>
      <c r="O29" s="160" t="s">
        <v>40</v>
      </c>
    </row>
    <row r="30" spans="1:15" ht="36">
      <c r="A30" s="161" t="s">
        <v>151</v>
      </c>
      <c r="B30" s="162" t="s">
        <v>115</v>
      </c>
      <c r="C30" s="162" t="s">
        <v>40</v>
      </c>
      <c r="D30" s="162" t="s">
        <v>40</v>
      </c>
      <c r="E30" s="162" t="s">
        <v>40</v>
      </c>
      <c r="F30" s="162" t="s">
        <v>40</v>
      </c>
      <c r="G30" s="162" t="s">
        <v>152</v>
      </c>
      <c r="H30" s="162" t="s">
        <v>153</v>
      </c>
      <c r="I30" s="162" t="s">
        <v>154</v>
      </c>
      <c r="J30" s="162" t="s">
        <v>40</v>
      </c>
      <c r="K30" s="162" t="s">
        <v>40</v>
      </c>
      <c r="L30" s="162" t="s">
        <v>40</v>
      </c>
      <c r="M30" s="162" t="s">
        <v>40</v>
      </c>
      <c r="N30" s="162" t="s">
        <v>40</v>
      </c>
      <c r="O30" s="162" t="s">
        <v>40</v>
      </c>
    </row>
  </sheetData>
  <mergeCells count="4">
    <mergeCell ref="C4:D4"/>
    <mergeCell ref="H5:K6"/>
    <mergeCell ref="H15:K15"/>
    <mergeCell ref="H20:K21"/>
  </mergeCells>
  <conditionalFormatting sqref="C9">
    <cfRule type="cellIs" dxfId="364" priority="2" operator="greaterThan">
      <formula>0.298611111111111</formula>
    </cfRule>
  </conditionalFormatting>
  <conditionalFormatting sqref="C10:C24">
    <cfRule type="cellIs" dxfId="363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EA9A-8C2F-4612-B6CA-3E21B36CA428}">
  <dimension ref="A2:F33"/>
  <sheetViews>
    <sheetView workbookViewId="0"/>
  </sheetViews>
  <sheetFormatPr defaultColWidth="11.42578125" defaultRowHeight="15"/>
  <cols>
    <col min="2" max="2" width="41.140625" customWidth="1"/>
    <col min="8" max="8" width="14.5703125" bestFit="1" customWidth="1"/>
    <col min="12" max="12" width="13.28515625" customWidth="1"/>
  </cols>
  <sheetData>
    <row r="2" spans="1:6" ht="15.75">
      <c r="B2" s="11"/>
      <c r="C2" s="12"/>
      <c r="D2" s="13"/>
    </row>
    <row r="3" spans="1:6">
      <c r="B3" s="14"/>
      <c r="C3" s="15"/>
      <c r="D3" s="16"/>
    </row>
    <row r="4" spans="1:6" ht="15" customHeight="1">
      <c r="B4" s="17"/>
      <c r="C4" s="225"/>
      <c r="D4" s="231"/>
    </row>
    <row r="5" spans="1:6" ht="15" customHeight="1">
      <c r="B5" s="18"/>
      <c r="C5" s="19"/>
      <c r="D5" s="20"/>
    </row>
    <row r="6" spans="1:6">
      <c r="E6" s="23"/>
      <c r="F6" s="24"/>
    </row>
    <row r="7" spans="1:6">
      <c r="B7" t="s">
        <v>155</v>
      </c>
      <c r="C7" t="s">
        <v>156</v>
      </c>
      <c r="D7" t="s">
        <v>157</v>
      </c>
      <c r="E7" t="s">
        <v>158</v>
      </c>
      <c r="F7" t="s">
        <v>159</v>
      </c>
    </row>
    <row r="8" spans="1:6">
      <c r="B8" s="174">
        <v>44895</v>
      </c>
      <c r="C8" s="83"/>
      <c r="D8" s="83"/>
      <c r="E8" s="1">
        <f t="shared" ref="E8:E32" si="0">D8-C8</f>
        <v>0</v>
      </c>
      <c r="F8" s="1">
        <v>0</v>
      </c>
    </row>
    <row r="9" spans="1:6">
      <c r="B9" s="174">
        <v>44896</v>
      </c>
      <c r="C9" s="83"/>
      <c r="D9" s="83"/>
      <c r="E9" s="1">
        <f t="shared" si="0"/>
        <v>0</v>
      </c>
      <c r="F9" s="1">
        <v>0</v>
      </c>
    </row>
    <row r="10" spans="1:6">
      <c r="B10" s="174">
        <v>44897</v>
      </c>
      <c r="C10" s="1">
        <v>0.29652777777777778</v>
      </c>
      <c r="D10" s="83">
        <v>0.70694444444444449</v>
      </c>
      <c r="E10" s="83">
        <f t="shared" si="0"/>
        <v>0.41041666666666671</v>
      </c>
      <c r="F10" s="1">
        <f t="shared" ref="F10:F21" si="1">E10-$C$5</f>
        <v>0.41041666666666671</v>
      </c>
    </row>
    <row r="11" spans="1:6">
      <c r="B11" s="174">
        <v>44898</v>
      </c>
      <c r="C11" s="83">
        <v>0.29166666666666669</v>
      </c>
      <c r="D11" s="83">
        <v>0.71458333333333335</v>
      </c>
      <c r="E11" s="1">
        <f t="shared" si="0"/>
        <v>0.42291666666666666</v>
      </c>
      <c r="F11" s="1">
        <f t="shared" si="1"/>
        <v>0.42291666666666666</v>
      </c>
    </row>
    <row r="12" spans="1:6">
      <c r="B12" s="174">
        <v>44899</v>
      </c>
      <c r="C12" s="1">
        <v>0.29166666666666669</v>
      </c>
      <c r="D12" s="83">
        <v>0.70763888888888893</v>
      </c>
      <c r="E12" s="1">
        <f t="shared" si="0"/>
        <v>0.41597222222222224</v>
      </c>
      <c r="F12" s="1">
        <f t="shared" si="1"/>
        <v>0.41597222222222224</v>
      </c>
    </row>
    <row r="13" spans="1:6">
      <c r="A13" s="25"/>
      <c r="B13" s="174">
        <v>44900</v>
      </c>
      <c r="C13" s="83">
        <v>0.29166666666666669</v>
      </c>
      <c r="D13" s="1">
        <v>0.71250000000000002</v>
      </c>
      <c r="E13" s="1">
        <f t="shared" si="0"/>
        <v>0.42083333333333334</v>
      </c>
      <c r="F13" s="1">
        <f t="shared" si="1"/>
        <v>0.42083333333333334</v>
      </c>
    </row>
    <row r="14" spans="1:6">
      <c r="B14" s="174">
        <v>44901</v>
      </c>
      <c r="C14" s="83">
        <v>0.29166666666666669</v>
      </c>
      <c r="D14" s="83">
        <v>0.7104166666666667</v>
      </c>
      <c r="E14" s="1">
        <f t="shared" si="0"/>
        <v>0.41875000000000001</v>
      </c>
      <c r="F14" s="1">
        <f t="shared" si="1"/>
        <v>0.41875000000000001</v>
      </c>
    </row>
    <row r="15" spans="1:6">
      <c r="B15" s="174">
        <v>44902</v>
      </c>
      <c r="C15" s="83"/>
      <c r="D15" s="1"/>
      <c r="E15" s="1">
        <f t="shared" si="0"/>
        <v>0</v>
      </c>
      <c r="F15" s="1">
        <v>0</v>
      </c>
    </row>
    <row r="16" spans="1:6">
      <c r="B16" s="174">
        <v>44903</v>
      </c>
      <c r="C16" s="83"/>
      <c r="D16" s="83"/>
      <c r="E16" s="1">
        <f t="shared" si="0"/>
        <v>0</v>
      </c>
      <c r="F16" s="1">
        <v>0</v>
      </c>
    </row>
    <row r="17" spans="2:6">
      <c r="B17" s="174">
        <v>44904</v>
      </c>
      <c r="C17" s="1">
        <v>0.29166666666666669</v>
      </c>
      <c r="D17" s="1">
        <v>0.70902777777777781</v>
      </c>
      <c r="E17" s="1">
        <f t="shared" si="0"/>
        <v>0.41736111111111113</v>
      </c>
      <c r="F17" s="1">
        <f t="shared" si="1"/>
        <v>0.41736111111111113</v>
      </c>
    </row>
    <row r="18" spans="2:6">
      <c r="B18" s="174">
        <v>44905</v>
      </c>
      <c r="C18" s="1">
        <v>0.29166666666666669</v>
      </c>
      <c r="D18" s="1">
        <v>0.70833333333333337</v>
      </c>
      <c r="E18" s="1">
        <f t="shared" si="0"/>
        <v>0.41666666666666669</v>
      </c>
      <c r="F18" s="1">
        <f t="shared" si="1"/>
        <v>0.41666666666666669</v>
      </c>
    </row>
    <row r="19" spans="2:6">
      <c r="B19" s="174">
        <v>44906</v>
      </c>
      <c r="C19" s="83">
        <v>0.29166666666666669</v>
      </c>
      <c r="D19" s="1">
        <v>0.71250000000000002</v>
      </c>
      <c r="E19" s="1">
        <f t="shared" si="0"/>
        <v>0.42083333333333334</v>
      </c>
      <c r="F19" s="1">
        <f t="shared" si="1"/>
        <v>0.42083333333333334</v>
      </c>
    </row>
    <row r="20" spans="2:6">
      <c r="B20" s="174">
        <v>44907</v>
      </c>
      <c r="C20" s="83">
        <v>0.29166666666666669</v>
      </c>
      <c r="D20" s="1">
        <v>0.71875</v>
      </c>
      <c r="E20" s="1">
        <f t="shared" si="0"/>
        <v>0.42708333333333331</v>
      </c>
      <c r="F20" s="1">
        <f t="shared" si="1"/>
        <v>0.42708333333333331</v>
      </c>
    </row>
    <row r="21" spans="2:6">
      <c r="B21" s="174">
        <v>44908</v>
      </c>
      <c r="C21" s="83">
        <v>0.29166666666666669</v>
      </c>
      <c r="D21" s="83">
        <v>0.66874999999999996</v>
      </c>
      <c r="E21" s="1">
        <f t="shared" si="0"/>
        <v>0.37708333333333327</v>
      </c>
      <c r="F21" s="1">
        <f t="shared" si="1"/>
        <v>0.37708333333333327</v>
      </c>
    </row>
    <row r="22" spans="2:6">
      <c r="B22" s="174">
        <v>44909</v>
      </c>
      <c r="C22" s="83"/>
      <c r="D22" s="83"/>
      <c r="E22" s="1">
        <f>D22-C22</f>
        <v>0</v>
      </c>
      <c r="F22" s="1">
        <f>E22-$C$5</f>
        <v>0</v>
      </c>
    </row>
    <row r="23" spans="2:6">
      <c r="B23" s="174">
        <v>44910</v>
      </c>
      <c r="C23" s="83"/>
      <c r="D23" s="83"/>
      <c r="E23" s="1">
        <f>D23-C23</f>
        <v>0</v>
      </c>
      <c r="F23" s="1">
        <f>E23-$C$5</f>
        <v>0</v>
      </c>
    </row>
    <row r="24" spans="2:6">
      <c r="B24" s="174">
        <v>44911</v>
      </c>
      <c r="C24" s="83"/>
      <c r="D24" s="83"/>
      <c r="E24" s="1">
        <f>D24-C24</f>
        <v>0</v>
      </c>
      <c r="F24" s="1">
        <f>E24-$C$5</f>
        <v>0</v>
      </c>
    </row>
    <row r="25" spans="2:6">
      <c r="B25" s="174">
        <v>44912</v>
      </c>
      <c r="C25" s="83"/>
      <c r="D25" s="83"/>
      <c r="E25" s="1">
        <f>D25-C25</f>
        <v>0</v>
      </c>
      <c r="F25" s="1">
        <f>E25-$C$5</f>
        <v>0</v>
      </c>
    </row>
    <row r="26" spans="2:6">
      <c r="B26" s="174">
        <v>44913</v>
      </c>
      <c r="C26" s="83"/>
      <c r="D26" s="83"/>
      <c r="E26" s="1">
        <f>D26-C26</f>
        <v>0</v>
      </c>
      <c r="F26" s="1">
        <f>E26-$C$5</f>
        <v>0</v>
      </c>
    </row>
    <row r="27" spans="2:6">
      <c r="B27" s="174"/>
      <c r="C27" s="83"/>
      <c r="D27" s="83"/>
      <c r="E27" s="1">
        <f>D27-C27</f>
        <v>0</v>
      </c>
      <c r="F27" s="1">
        <f>E27-$C$5</f>
        <v>0</v>
      </c>
    </row>
    <row r="28" spans="2:6">
      <c r="B28" s="174"/>
      <c r="C28" s="83"/>
      <c r="D28" s="83"/>
      <c r="E28" s="1">
        <f>D28-C28</f>
        <v>0</v>
      </c>
      <c r="F28" s="1">
        <f>E28-$C$5</f>
        <v>0</v>
      </c>
    </row>
    <row r="29" spans="2:6">
      <c r="B29" s="174"/>
      <c r="C29" s="83"/>
      <c r="D29" s="83"/>
      <c r="E29" s="1">
        <f>D29-C29</f>
        <v>0</v>
      </c>
      <c r="F29" s="1">
        <f>E29-$C$5</f>
        <v>0</v>
      </c>
    </row>
    <row r="30" spans="2:6">
      <c r="B30" s="174"/>
      <c r="C30" s="83"/>
      <c r="D30" s="83"/>
      <c r="E30" s="1">
        <f>D30-C30</f>
        <v>0</v>
      </c>
      <c r="F30" s="1">
        <f>E30-$C$5</f>
        <v>0</v>
      </c>
    </row>
    <row r="31" spans="2:6">
      <c r="B31" s="174"/>
      <c r="C31" s="83"/>
      <c r="D31" s="1"/>
      <c r="E31" s="1">
        <f t="shared" si="0"/>
        <v>0</v>
      </c>
      <c r="F31" s="1">
        <v>0</v>
      </c>
    </row>
    <row r="32" spans="2:6">
      <c r="B32" s="174"/>
      <c r="C32" s="83"/>
      <c r="D32" s="1"/>
      <c r="E32" s="1">
        <f t="shared" si="0"/>
        <v>0</v>
      </c>
      <c r="F32" s="1">
        <v>0</v>
      </c>
    </row>
    <row r="33" spans="2:6">
      <c r="B33" t="s">
        <v>26</v>
      </c>
      <c r="E33" s="2">
        <f>SUBTOTAL(109,E8:E32)</f>
        <v>4.1479166666666671</v>
      </c>
      <c r="F33" s="2">
        <f>SUBTOTAL(109,Tabla13039[Columna5])</f>
        <v>4.1479166666666671</v>
      </c>
    </row>
  </sheetData>
  <mergeCells count="1">
    <mergeCell ref="C4:D4"/>
  </mergeCells>
  <conditionalFormatting sqref="C8:C32">
    <cfRule type="cellIs" dxfId="352" priority="1" operator="greaterThan">
      <formula>0.298611111111111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5575-9065-428B-9318-342B9759DA5E}">
  <sheetPr>
    <pageSetUpPr fitToPage="1"/>
  </sheetPr>
  <dimension ref="A2:N97"/>
  <sheetViews>
    <sheetView tabSelected="1" zoomScale="98" zoomScaleNormal="98" workbookViewId="0">
      <selection activeCell="M90" sqref="M90:Q90"/>
    </sheetView>
  </sheetViews>
  <sheetFormatPr defaultColWidth="11.42578125" defaultRowHeight="15"/>
  <cols>
    <col min="1" max="1" width="13.85546875" customWidth="1"/>
    <col min="2" max="2" width="15" customWidth="1"/>
    <col min="3" max="3" width="15.28515625" customWidth="1"/>
    <col min="4" max="4" width="18.42578125" bestFit="1" customWidth="1"/>
    <col min="5" max="5" width="1.28515625" customWidth="1"/>
    <col min="6" max="6" width="15.140625" customWidth="1"/>
    <col min="7" max="7" width="17.42578125" customWidth="1"/>
    <col min="8" max="8" width="14.140625" customWidth="1"/>
    <col min="9" max="9" width="17" customWidth="1"/>
    <col min="10" max="10" width="1.28515625" customWidth="1"/>
    <col min="11" max="11" width="13.5703125" customWidth="1"/>
    <col min="12" max="12" width="18.7109375" customWidth="1"/>
    <col min="13" max="13" width="15.85546875" customWidth="1"/>
    <col min="14" max="14" width="17.7109375" customWidth="1"/>
    <col min="15" max="15" width="0.85546875" customWidth="1"/>
    <col min="16" max="16" width="11.85546875" customWidth="1"/>
  </cols>
  <sheetData>
    <row r="2" spans="1:14">
      <c r="A2" s="207" t="str">
        <f>'LEO SOTO'!H6</f>
        <v>DETALLE DE QUINCENA</v>
      </c>
      <c r="B2" s="207"/>
      <c r="C2" s="207"/>
      <c r="D2" s="207"/>
      <c r="F2" s="207" t="s">
        <v>8</v>
      </c>
      <c r="G2" s="207"/>
      <c r="H2" s="207"/>
      <c r="I2" s="207"/>
      <c r="K2" s="207" t="s">
        <v>8</v>
      </c>
      <c r="L2" s="207"/>
      <c r="M2" s="207"/>
      <c r="N2" s="207"/>
    </row>
    <row r="3" spans="1:14">
      <c r="A3" s="207"/>
      <c r="B3" s="207"/>
      <c r="C3" s="207"/>
      <c r="D3" s="207"/>
      <c r="F3" s="207"/>
      <c r="G3" s="207"/>
      <c r="H3" s="207"/>
      <c r="I3" s="207"/>
      <c r="K3" s="207"/>
      <c r="L3" s="207"/>
      <c r="M3" s="207"/>
      <c r="N3" s="207"/>
    </row>
    <row r="4" spans="1:14" ht="21">
      <c r="A4" s="59" t="str">
        <f>'LEO SOTO'!H8</f>
        <v>NOMBRE:</v>
      </c>
      <c r="B4" s="108" t="str">
        <f>'LEO SOTO'!I8</f>
        <v>LEO</v>
      </c>
      <c r="C4" s="58" t="str">
        <f>'LEO SOTO'!J8</f>
        <v>FECHA:</v>
      </c>
      <c r="D4" s="66">
        <f ca="1">'LEO SOTO'!K8</f>
        <v>44716</v>
      </c>
      <c r="F4" s="59" t="s">
        <v>10</v>
      </c>
      <c r="G4" s="101" t="s">
        <v>53</v>
      </c>
      <c r="H4" s="50" t="s">
        <v>9</v>
      </c>
      <c r="I4" s="60">
        <f ca="1">GABRIEL!J8</f>
        <v>44716</v>
      </c>
      <c r="K4" s="59" t="s">
        <v>10</v>
      </c>
      <c r="L4" s="109" t="s">
        <v>92</v>
      </c>
      <c r="M4" s="47" t="s">
        <v>9</v>
      </c>
      <c r="N4" s="65">
        <f ca="1">MIGUEL!K6</f>
        <v>44716</v>
      </c>
    </row>
    <row r="5" spans="1:14">
      <c r="A5" s="61" t="s">
        <v>16</v>
      </c>
      <c r="B5" t="s">
        <v>17</v>
      </c>
      <c r="C5" s="22" t="s">
        <v>18</v>
      </c>
      <c r="D5" s="62" t="s">
        <v>19</v>
      </c>
      <c r="F5" s="61" t="s">
        <v>16</v>
      </c>
      <c r="G5" t="s">
        <v>17</v>
      </c>
      <c r="H5" s="22" t="s">
        <v>18</v>
      </c>
      <c r="I5" s="62" t="s">
        <v>19</v>
      </c>
      <c r="K5" s="61" t="s">
        <v>16</v>
      </c>
      <c r="L5" t="s">
        <v>17</v>
      </c>
      <c r="M5" s="22" t="s">
        <v>18</v>
      </c>
      <c r="N5" s="62" t="s">
        <v>19</v>
      </c>
    </row>
    <row r="6" spans="1:14" ht="18.75" customHeight="1">
      <c r="A6" s="90" t="s">
        <v>160</v>
      </c>
      <c r="B6" s="91">
        <v>5000</v>
      </c>
      <c r="C6" s="92">
        <f>'LEO SOTO'!J10</f>
        <v>11</v>
      </c>
      <c r="D6" s="93">
        <f>'LEO SOTO'!K10</f>
        <v>55000</v>
      </c>
      <c r="F6" s="110" t="str">
        <f>GABRIEL!G10</f>
        <v>HORA SIMPLE</v>
      </c>
      <c r="G6" s="102">
        <f>GABRIEL!H10</f>
        <v>5000</v>
      </c>
      <c r="H6" s="111">
        <f>GABRIEL!I10</f>
        <v>11</v>
      </c>
      <c r="I6" s="94">
        <f>GABRIEL!J10</f>
        <v>55000</v>
      </c>
      <c r="K6" s="110" t="str">
        <f>MIGUEL!H8</f>
        <v>HORA SIMPLE</v>
      </c>
      <c r="L6" s="102">
        <f>MIGUEL!I8</f>
        <v>4500</v>
      </c>
      <c r="M6" s="111">
        <f>MIGUEL!J8</f>
        <v>99</v>
      </c>
      <c r="N6" s="114">
        <f>MIGUEL!K8</f>
        <v>445500</v>
      </c>
    </row>
    <row r="7" spans="1:14" ht="18.75" customHeight="1">
      <c r="A7" s="90" t="s">
        <v>161</v>
      </c>
      <c r="B7" s="91">
        <f>'LEO SOTO'!I11</f>
        <v>7500</v>
      </c>
      <c r="C7" s="92">
        <f>'LEO SOTO'!J11</f>
        <v>30</v>
      </c>
      <c r="D7" s="93">
        <f>'LEO SOTO'!K11</f>
        <v>225000</v>
      </c>
      <c r="F7" s="110" t="str">
        <f>GABRIEL!G11</f>
        <v>HORA EXTRA</v>
      </c>
      <c r="G7" s="102">
        <f>GABRIEL!H11</f>
        <v>7500</v>
      </c>
      <c r="H7" s="111">
        <f>GABRIEL!I11</f>
        <v>33</v>
      </c>
      <c r="I7" s="94">
        <f>GABRIEL!J11</f>
        <v>247500</v>
      </c>
      <c r="K7" s="110" t="str">
        <f>MIGUEL!H9</f>
        <v>HORA EXTRA</v>
      </c>
      <c r="L7" s="102">
        <f>MIGUEL!I9</f>
        <v>6750</v>
      </c>
      <c r="M7" s="111">
        <f>MIGUEL!J9</f>
        <v>17</v>
      </c>
      <c r="N7" s="114">
        <f>MIGUEL!K9</f>
        <v>114750</v>
      </c>
    </row>
    <row r="8" spans="1:14" ht="15.75">
      <c r="A8" s="90" t="str">
        <f>'LEO SOTO'!H12</f>
        <v>HORA RECIBO</v>
      </c>
      <c r="B8" s="91">
        <f>'LEO SOTO'!I12</f>
        <v>4313.43</v>
      </c>
      <c r="C8" s="92">
        <f>'LEO SOTO'!J12</f>
        <v>88</v>
      </c>
      <c r="D8" s="93">
        <f>'LEO SOTO'!K12</f>
        <v>323897</v>
      </c>
      <c r="F8" s="110" t="str">
        <f>GABRIEL!G12</f>
        <v>HORA DE RECIBO</v>
      </c>
      <c r="G8" s="102">
        <v>4313.43</v>
      </c>
      <c r="H8" s="111">
        <f>GABRIEL!I12</f>
        <v>88</v>
      </c>
      <c r="I8" s="94">
        <f>GABRIEL!J12</f>
        <v>308619</v>
      </c>
      <c r="K8" s="110" t="str">
        <f>MIGUEL!H10</f>
        <v>VIATICOS</v>
      </c>
      <c r="L8" s="102">
        <f>MIGUEL!I10</f>
        <v>6000</v>
      </c>
      <c r="M8" s="111">
        <f>MIGUEL!J10</f>
        <v>10</v>
      </c>
      <c r="N8" s="114">
        <f>MIGUEL!K10</f>
        <v>60000</v>
      </c>
    </row>
    <row r="9" spans="1:14" ht="18.75" customHeight="1">
      <c r="A9" s="90" t="s">
        <v>23</v>
      </c>
      <c r="B9" s="91">
        <f>'LEO SOTO'!I13</f>
        <v>6000</v>
      </c>
      <c r="C9" s="92">
        <f>'LEO SOTO'!J13</f>
        <v>11</v>
      </c>
      <c r="D9" s="93">
        <f>'LEO SOTO'!K13</f>
        <v>66000</v>
      </c>
      <c r="F9" s="110" t="str">
        <f>GABRIEL!G13</f>
        <v>VIATICOS</v>
      </c>
      <c r="G9" s="102">
        <f>GABRIEL!H13</f>
        <v>6000</v>
      </c>
      <c r="H9" s="111">
        <f>GABRIEL!I13</f>
        <v>12</v>
      </c>
      <c r="I9" s="94">
        <f>GABRIEL!J13</f>
        <v>72000</v>
      </c>
      <c r="K9" s="110" t="str">
        <f>MIGUEL!H11</f>
        <v>PREMIO</v>
      </c>
      <c r="L9" s="102">
        <f>MIGUEL!I11</f>
        <v>70000</v>
      </c>
      <c r="M9" s="111">
        <f>MIGUEL!J11</f>
        <v>1</v>
      </c>
      <c r="N9" s="114">
        <f>MIGUEL!K11</f>
        <v>70000</v>
      </c>
    </row>
    <row r="10" spans="1:14" ht="18" customHeight="1">
      <c r="A10" s="90" t="s">
        <v>24</v>
      </c>
      <c r="B10" s="91">
        <f>'LEO SOTO'!I14</f>
        <v>50000</v>
      </c>
      <c r="C10" s="92">
        <f>'LEO SOTO'!J14</f>
        <v>1</v>
      </c>
      <c r="D10" s="93">
        <f>'LEO SOTO'!K14</f>
        <v>50000</v>
      </c>
      <c r="F10" s="110" t="str">
        <f>GABRIEL!G14</f>
        <v xml:space="preserve">CATEGORIA </v>
      </c>
      <c r="G10" s="102">
        <f>GABRIEL!H14</f>
        <v>35000</v>
      </c>
      <c r="H10" s="111">
        <f>GABRIEL!I14</f>
        <v>1</v>
      </c>
      <c r="I10" s="94">
        <f>GABRIEL!J14</f>
        <v>35000</v>
      </c>
      <c r="K10" s="110"/>
      <c r="L10" s="102">
        <f>MIGUEL!I12</f>
        <v>0</v>
      </c>
      <c r="M10" s="111">
        <f>MIGUEL!J12</f>
        <v>0</v>
      </c>
      <c r="N10" s="114">
        <f>MIGUEL!K12</f>
        <v>0</v>
      </c>
    </row>
    <row r="11" spans="1:14" ht="18.75" customHeight="1">
      <c r="A11" s="90" t="s">
        <v>25</v>
      </c>
      <c r="B11" s="91">
        <f>'LEO SOTO'!I15</f>
        <v>90000</v>
      </c>
      <c r="C11" s="92">
        <f>'LEO SOTO'!J15</f>
        <v>1</v>
      </c>
      <c r="D11" s="93">
        <f>'LEO SOTO'!K15</f>
        <v>90000</v>
      </c>
      <c r="F11" s="110" t="str">
        <f>GABRIEL!G15</f>
        <v>PREMIO</v>
      </c>
      <c r="G11" s="102">
        <f>GABRIEL!H15</f>
        <v>90000</v>
      </c>
      <c r="H11" s="111">
        <v>1</v>
      </c>
      <c r="I11" s="94">
        <f>GABRIEL!J15</f>
        <v>90000</v>
      </c>
      <c r="K11" s="90" t="s">
        <v>26</v>
      </c>
      <c r="L11" s="104"/>
      <c r="M11" s="105"/>
      <c r="N11" s="94">
        <f>SUBTOTAL(109,Tabla23142[SUB TOTAL])</f>
        <v>690250</v>
      </c>
    </row>
    <row r="12" spans="1:14" ht="19.5" customHeight="1">
      <c r="A12" s="90"/>
      <c r="B12" s="91">
        <f>'LEO SOTO'!I16</f>
        <v>0</v>
      </c>
      <c r="C12" s="57"/>
      <c r="D12" s="67">
        <f>'LEO SOTO'!K16</f>
        <v>0</v>
      </c>
      <c r="F12" s="110"/>
      <c r="G12" s="102">
        <f>GABRIEL!H16</f>
        <v>0</v>
      </c>
      <c r="H12" s="111">
        <v>1</v>
      </c>
      <c r="I12" s="94">
        <f>GABRIEL!J16</f>
        <v>0</v>
      </c>
      <c r="K12" s="208" t="s">
        <v>27</v>
      </c>
      <c r="L12" s="208"/>
      <c r="M12" s="208"/>
      <c r="N12" s="208"/>
    </row>
    <row r="13" spans="1:14" ht="20.25" customHeight="1">
      <c r="A13" s="61" t="s">
        <v>26</v>
      </c>
      <c r="C13" s="26"/>
      <c r="D13" s="94">
        <f>SUBTOTAL(109,Tabla2726[SUB TOTAL])</f>
        <v>809897</v>
      </c>
      <c r="F13" s="90" t="s">
        <v>26</v>
      </c>
      <c r="G13" s="104"/>
      <c r="H13" s="105"/>
      <c r="I13" s="94">
        <f>SUBTOTAL(109,Tabla27229[SUB TOTAL])</f>
        <v>808119</v>
      </c>
      <c r="K13" s="90" t="s">
        <v>11</v>
      </c>
      <c r="L13" s="91" t="s">
        <v>16</v>
      </c>
      <c r="M13" s="112" t="s">
        <v>18</v>
      </c>
      <c r="N13" s="113" t="s">
        <v>14</v>
      </c>
    </row>
    <row r="14" spans="1:14" ht="15.75">
      <c r="A14" s="211" t="s">
        <v>27</v>
      </c>
      <c r="B14" s="211"/>
      <c r="C14" s="211"/>
      <c r="D14" s="211"/>
      <c r="F14" s="208" t="s">
        <v>27</v>
      </c>
      <c r="G14" s="208"/>
      <c r="H14" s="208"/>
      <c r="I14" s="208"/>
      <c r="K14" s="115"/>
      <c r="L14" s="98"/>
      <c r="M14" s="99">
        <f>MIGUEL!J16</f>
        <v>0</v>
      </c>
      <c r="N14" s="94">
        <f>MIGUEL!K16</f>
        <v>690250</v>
      </c>
    </row>
    <row r="15" spans="1:14" ht="15.75">
      <c r="A15" s="61" t="s">
        <v>11</v>
      </c>
      <c r="B15" s="3" t="s">
        <v>16</v>
      </c>
      <c r="C15" s="22" t="s">
        <v>18</v>
      </c>
      <c r="D15" s="62" t="s">
        <v>14</v>
      </c>
      <c r="F15" s="90" t="s">
        <v>11</v>
      </c>
      <c r="G15" s="91" t="s">
        <v>16</v>
      </c>
      <c r="H15" s="112" t="s">
        <v>18</v>
      </c>
      <c r="I15" s="113" t="s">
        <v>14</v>
      </c>
      <c r="K15" s="115"/>
      <c r="L15" s="98"/>
      <c r="M15" s="99">
        <f>MIGUEL!J17</f>
        <v>0</v>
      </c>
      <c r="N15" s="94">
        <f>MIGUEL!K17</f>
        <v>690250</v>
      </c>
    </row>
    <row r="16" spans="1:14" ht="18.75" customHeight="1">
      <c r="A16" s="95">
        <v>44670</v>
      </c>
      <c r="B16" s="96" t="s">
        <v>162</v>
      </c>
      <c r="C16" s="97">
        <f>'LEO SOTO'!J20</f>
        <v>323897</v>
      </c>
      <c r="D16" s="94">
        <f>'LEO SOTO'!K20</f>
        <v>486000</v>
      </c>
      <c r="F16" s="95">
        <v>44670</v>
      </c>
      <c r="G16" s="98" t="s">
        <v>162</v>
      </c>
      <c r="H16" s="102">
        <f>GABRIEL!I20</f>
        <v>308619</v>
      </c>
      <c r="I16" s="114">
        <f>GABRIEL!J20</f>
        <v>499500</v>
      </c>
      <c r="K16" s="115"/>
      <c r="L16" s="98"/>
      <c r="M16" s="99">
        <f>MIGUEL!J18</f>
        <v>0</v>
      </c>
      <c r="N16" s="94">
        <f>MIGUEL!K18</f>
        <v>690250</v>
      </c>
    </row>
    <row r="17" spans="1:14" ht="18.75" customHeight="1">
      <c r="A17" s="95"/>
      <c r="B17" s="98" t="s">
        <v>29</v>
      </c>
      <c r="C17" s="99">
        <v>100000</v>
      </c>
      <c r="D17" s="94">
        <f>'LEO SOTO'!K21</f>
        <v>386000</v>
      </c>
      <c r="F17" s="95"/>
      <c r="G17" s="98" t="s">
        <v>30</v>
      </c>
      <c r="H17" s="102">
        <f>GABRIEL!I21</f>
        <v>410375</v>
      </c>
      <c r="I17" s="114">
        <f>GABRIEL!J21</f>
        <v>89125</v>
      </c>
      <c r="K17" s="209" t="s">
        <v>163</v>
      </c>
      <c r="L17" s="209"/>
      <c r="M17" s="209"/>
      <c r="N17" s="209"/>
    </row>
    <row r="18" spans="1:14" ht="15.75">
      <c r="A18" s="95"/>
      <c r="B18" s="98" t="s">
        <v>30</v>
      </c>
      <c r="C18" s="100">
        <f>'LEO SOTO'!J22</f>
        <v>200000</v>
      </c>
      <c r="D18" s="94">
        <f>'LEO SOTO'!K22</f>
        <v>186000</v>
      </c>
      <c r="F18" s="95"/>
      <c r="G18" s="98"/>
      <c r="H18" s="102"/>
      <c r="I18" s="114">
        <f>GABRIEL!J23</f>
        <v>89125</v>
      </c>
      <c r="N18" s="81"/>
    </row>
    <row r="19" spans="1:14" ht="18.75" customHeight="1">
      <c r="A19" s="95"/>
      <c r="B19" s="98"/>
      <c r="C19" s="100"/>
      <c r="D19" s="94">
        <f>'LEO SOTO'!K23</f>
        <v>186000</v>
      </c>
      <c r="F19" s="64"/>
      <c r="G19" s="42"/>
      <c r="H19" s="22" t="s">
        <v>104</v>
      </c>
      <c r="I19" s="114">
        <f>GABRIEL!J22</f>
        <v>89125</v>
      </c>
    </row>
    <row r="20" spans="1:14" ht="15" customHeight="1">
      <c r="A20" s="95"/>
      <c r="B20" s="98"/>
      <c r="C20" s="99"/>
      <c r="D20" s="94">
        <f>'LEO SOTO'!K24</f>
        <v>186000</v>
      </c>
      <c r="F20" s="64"/>
      <c r="G20" s="52"/>
      <c r="H20" s="63"/>
      <c r="I20" s="114">
        <f>GABRIEL!J23</f>
        <v>89125</v>
      </c>
    </row>
    <row r="21" spans="1:14" ht="15.75" customHeight="1">
      <c r="D21" s="81"/>
      <c r="F21" s="209" t="s">
        <v>164</v>
      </c>
      <c r="G21" s="209"/>
      <c r="H21" s="209"/>
      <c r="I21" s="209"/>
    </row>
    <row r="22" spans="1:14" ht="15.75" customHeight="1">
      <c r="D22" s="81"/>
      <c r="F22" s="164"/>
      <c r="G22" s="164"/>
      <c r="H22" s="164"/>
      <c r="I22" s="164"/>
    </row>
    <row r="23" spans="1:14">
      <c r="D23" s="81"/>
    </row>
    <row r="24" spans="1:14">
      <c r="D24" s="81"/>
    </row>
    <row r="25" spans="1:14">
      <c r="K25" s="207" t="s">
        <v>8</v>
      </c>
      <c r="L25" s="207"/>
      <c r="M25" s="207"/>
      <c r="N25" s="207"/>
    </row>
    <row r="26" spans="1:14">
      <c r="A26" s="210"/>
      <c r="B26" s="210"/>
      <c r="C26" s="210"/>
      <c r="D26" s="210"/>
      <c r="F26" s="210"/>
      <c r="G26" s="210"/>
      <c r="H26" s="210"/>
      <c r="I26" s="210"/>
      <c r="K26" s="207"/>
      <c r="L26" s="207"/>
      <c r="M26" s="207"/>
      <c r="N26" s="207"/>
    </row>
    <row r="27" spans="1:14" ht="24">
      <c r="A27" s="210"/>
      <c r="B27" s="210"/>
      <c r="C27" s="210"/>
      <c r="D27" s="210"/>
      <c r="F27" s="210"/>
      <c r="G27" s="210"/>
      <c r="H27" s="210"/>
      <c r="I27" s="210"/>
      <c r="K27" s="59" t="s">
        <v>10</v>
      </c>
      <c r="L27" s="158" t="s">
        <v>165</v>
      </c>
      <c r="M27" s="47" t="s">
        <v>9</v>
      </c>
      <c r="N27" s="65">
        <f ca="1">WALTER!K6</f>
        <v>44716</v>
      </c>
    </row>
    <row r="28" spans="1:14" ht="15" customHeight="1">
      <c r="A28" s="207" t="s">
        <v>8</v>
      </c>
      <c r="B28" s="207"/>
      <c r="C28" s="207"/>
      <c r="D28" s="207"/>
      <c r="F28" s="207" t="s">
        <v>8</v>
      </c>
      <c r="G28" s="207"/>
      <c r="H28" s="207"/>
      <c r="I28" s="207"/>
      <c r="K28" s="61" t="s">
        <v>16</v>
      </c>
      <c r="L28" t="s">
        <v>17</v>
      </c>
      <c r="M28" s="22" t="s">
        <v>18</v>
      </c>
      <c r="N28" s="62" t="s">
        <v>19</v>
      </c>
    </row>
    <row r="29" spans="1:14" ht="15.75" customHeight="1">
      <c r="A29" s="207"/>
      <c r="B29" s="207"/>
      <c r="C29" s="207"/>
      <c r="D29" s="207"/>
      <c r="F29" s="207"/>
      <c r="G29" s="207"/>
      <c r="H29" s="207"/>
      <c r="I29" s="207"/>
      <c r="K29" s="106" t="str">
        <f>WALTER!H8</f>
        <v>HORA SIMPLE</v>
      </c>
      <c r="L29" s="91">
        <f>WALTER!I8</f>
        <v>5000</v>
      </c>
      <c r="M29" s="92">
        <f>WALTER!J8</f>
        <v>99</v>
      </c>
      <c r="N29" s="107">
        <f>WALTER!K8</f>
        <v>495000</v>
      </c>
    </row>
    <row r="30" spans="1:14" ht="20.25">
      <c r="A30" s="59" t="s">
        <v>10</v>
      </c>
      <c r="B30" s="159" t="s">
        <v>111</v>
      </c>
      <c r="C30" s="47" t="s">
        <v>9</v>
      </c>
      <c r="D30" s="65">
        <f ca="1">EZEQUIEL!K7</f>
        <v>44716</v>
      </c>
      <c r="F30" s="59" t="s">
        <v>10</v>
      </c>
      <c r="G30" s="109" t="s">
        <v>132</v>
      </c>
      <c r="H30" s="47" t="s">
        <v>9</v>
      </c>
      <c r="I30" s="65">
        <f ca="1">RENZO!K7</f>
        <v>44716</v>
      </c>
      <c r="K30" s="106" t="str">
        <f>WALTER!H9</f>
        <v>HORA EXTRA</v>
      </c>
      <c r="L30" s="91">
        <f>WALTER!I9</f>
        <v>7500</v>
      </c>
      <c r="M30" s="92">
        <f>WALTER!J9</f>
        <v>30</v>
      </c>
      <c r="N30" s="107">
        <f>WALTER!K9</f>
        <v>225000</v>
      </c>
    </row>
    <row r="31" spans="1:14" ht="18.75" customHeight="1">
      <c r="A31" s="61" t="s">
        <v>16</v>
      </c>
      <c r="B31" t="s">
        <v>17</v>
      </c>
      <c r="C31" s="22" t="s">
        <v>18</v>
      </c>
      <c r="D31" s="62" t="s">
        <v>19</v>
      </c>
      <c r="F31" s="61" t="s">
        <v>16</v>
      </c>
      <c r="G31" t="s">
        <v>17</v>
      </c>
      <c r="H31" s="22" t="s">
        <v>18</v>
      </c>
      <c r="I31" s="62" t="s">
        <v>19</v>
      </c>
      <c r="K31" s="106" t="str">
        <f>WALTER!H10</f>
        <v>VIATICOS</v>
      </c>
      <c r="L31" s="91">
        <f>WALTER!I10</f>
        <v>6000</v>
      </c>
      <c r="M31" s="92">
        <f>WALTER!J10</f>
        <v>11</v>
      </c>
      <c r="N31" s="107">
        <f>WALTER!K10</f>
        <v>66000</v>
      </c>
    </row>
    <row r="32" spans="1:14" ht="19.5" customHeight="1">
      <c r="A32" s="104" t="s">
        <v>20</v>
      </c>
      <c r="B32" s="91">
        <f>EZEQUIEL!I9</f>
        <v>4500</v>
      </c>
      <c r="C32" s="92">
        <f>EZEQUIEL!J9</f>
        <v>90</v>
      </c>
      <c r="D32" s="107">
        <f>EZEQUIEL!K9</f>
        <v>405000</v>
      </c>
      <c r="F32" s="104" t="str">
        <f>'JOSE '!H9</f>
        <v>MES DE ABRIL</v>
      </c>
      <c r="G32" s="91">
        <f>'JOSE '!I9</f>
        <v>1800000</v>
      </c>
      <c r="H32" s="92">
        <f>'JOSE '!J9</f>
        <v>0</v>
      </c>
      <c r="I32" s="107"/>
      <c r="K32" s="106" t="str">
        <f>WALTER!H11</f>
        <v>PREMIO</v>
      </c>
      <c r="L32" s="91">
        <f>WALTER!I11</f>
        <v>70000</v>
      </c>
      <c r="M32" s="92">
        <f>WALTER!J11</f>
        <v>1</v>
      </c>
      <c r="N32" s="107">
        <f>WALTER!K11</f>
        <v>70000</v>
      </c>
    </row>
    <row r="33" spans="1:14" ht="21" customHeight="1">
      <c r="A33" s="104" t="s">
        <v>21</v>
      </c>
      <c r="B33" s="91">
        <f>EZEQUIEL!I10</f>
        <v>8358.1299999999992</v>
      </c>
      <c r="C33" s="92">
        <f>EZEQUIEL!J10</f>
        <v>13</v>
      </c>
      <c r="D33" s="107">
        <f>EZEQUIEL!K10</f>
        <v>108655.68999999999</v>
      </c>
      <c r="F33" s="104" t="str">
        <f>'JOSE '!H10</f>
        <v xml:space="preserve">1ra QUINCENA </v>
      </c>
      <c r="G33" s="91">
        <f>'JOSE '!I10</f>
        <v>900000</v>
      </c>
      <c r="H33" s="92">
        <f>'JOSE '!J10</f>
        <v>1</v>
      </c>
      <c r="I33" s="107">
        <f>'JOSE '!K10</f>
        <v>900000</v>
      </c>
      <c r="K33" s="106" t="s">
        <v>24</v>
      </c>
      <c r="L33" s="91">
        <f>WALTER!I12</f>
        <v>35000</v>
      </c>
      <c r="M33" s="92">
        <f>WALTER!J12</f>
        <v>1</v>
      </c>
      <c r="N33" s="107">
        <f>WALTER!K12</f>
        <v>35000</v>
      </c>
    </row>
    <row r="34" spans="1:14" ht="17.25" customHeight="1">
      <c r="A34" s="104" t="s">
        <v>23</v>
      </c>
      <c r="B34" s="91">
        <f>EZEQUIEL!I11</f>
        <v>6000</v>
      </c>
      <c r="C34" s="92">
        <f>EZEQUIEL!J11</f>
        <v>9</v>
      </c>
      <c r="D34" s="107">
        <f>EZEQUIEL!K11</f>
        <v>54000</v>
      </c>
      <c r="F34" s="104"/>
      <c r="G34" s="91"/>
      <c r="H34" s="92"/>
      <c r="I34" s="107">
        <v>0</v>
      </c>
      <c r="K34" s="106">
        <f>WALTER!H13</f>
        <v>0</v>
      </c>
      <c r="L34" s="91">
        <f>WALTER!I13</f>
        <v>0</v>
      </c>
      <c r="M34" s="92">
        <f>WALTER!J13</f>
        <v>0</v>
      </c>
      <c r="N34" s="107">
        <f>WALTER!K13</f>
        <v>0</v>
      </c>
    </row>
    <row r="35" spans="1:14" ht="19.5" customHeight="1">
      <c r="A35" s="104" t="s">
        <v>25</v>
      </c>
      <c r="B35" s="91">
        <f>EZEQUIEL!I12</f>
        <v>10447.64</v>
      </c>
      <c r="C35" s="92">
        <f>EZEQUIEL!J12</f>
        <v>10</v>
      </c>
      <c r="D35" s="107">
        <f>EZEQUIEL!K12</f>
        <v>104476.4</v>
      </c>
      <c r="F35" s="104"/>
      <c r="G35" s="91"/>
      <c r="H35" s="92">
        <f>RENZO!J12</f>
        <v>0</v>
      </c>
      <c r="I35" s="107">
        <f>RENZO!K12</f>
        <v>0</v>
      </c>
      <c r="K35" s="90" t="s">
        <v>26</v>
      </c>
      <c r="L35" s="104"/>
      <c r="M35" s="105"/>
      <c r="N35" s="94">
        <f>SUBTOTAL(109,Tabla2314111448[SUB TOTAL])</f>
        <v>891000</v>
      </c>
    </row>
    <row r="36" spans="1:14" ht="18.75" customHeight="1">
      <c r="A36" s="104"/>
      <c r="B36" s="91"/>
      <c r="C36" s="92">
        <f>EZEQUIEL!J13</f>
        <v>0</v>
      </c>
      <c r="D36" s="107">
        <f>EZEQUIEL!K13</f>
        <v>0</v>
      </c>
      <c r="F36" s="90" t="s">
        <v>26</v>
      </c>
      <c r="G36" s="104"/>
      <c r="H36" s="105"/>
      <c r="I36" s="94">
        <f>Tabla231411141618231159[[#Totals],[SUB TOTAL]]</f>
        <v>900000</v>
      </c>
      <c r="K36" s="211" t="s">
        <v>27</v>
      </c>
      <c r="L36" s="211"/>
      <c r="M36" s="211"/>
      <c r="N36" s="211"/>
    </row>
    <row r="37" spans="1:14" ht="20.25" customHeight="1">
      <c r="A37" s="90" t="s">
        <v>26</v>
      </c>
      <c r="B37" s="104"/>
      <c r="C37" s="105"/>
      <c r="D37" s="94">
        <f>Tabla23141114161823[[#Totals],[SUB TOTAL]]</f>
        <v>672132.09</v>
      </c>
      <c r="F37" s="211" t="s">
        <v>27</v>
      </c>
      <c r="G37" s="211"/>
      <c r="H37" s="211"/>
      <c r="I37" s="211"/>
      <c r="K37" s="61" t="s">
        <v>11</v>
      </c>
      <c r="L37" s="3" t="s">
        <v>16</v>
      </c>
      <c r="M37" s="22" t="s">
        <v>18</v>
      </c>
      <c r="N37" s="62" t="s">
        <v>14</v>
      </c>
    </row>
    <row r="38" spans="1:14" ht="15.75">
      <c r="A38" s="211" t="s">
        <v>27</v>
      </c>
      <c r="B38" s="211"/>
      <c r="C38" s="211"/>
      <c r="D38" s="211"/>
      <c r="F38" s="61" t="s">
        <v>11</v>
      </c>
      <c r="G38" s="3" t="s">
        <v>16</v>
      </c>
      <c r="H38" s="22" t="s">
        <v>18</v>
      </c>
      <c r="I38" s="62" t="s">
        <v>14</v>
      </c>
      <c r="K38" s="95">
        <v>44670</v>
      </c>
      <c r="L38" s="98" t="s">
        <v>30</v>
      </c>
      <c r="M38" s="102">
        <v>150000</v>
      </c>
      <c r="N38" s="94">
        <f>WALTER!K17</f>
        <v>741000</v>
      </c>
    </row>
    <row r="39" spans="1:14" ht="18.75" customHeight="1">
      <c r="A39" s="61" t="s">
        <v>11</v>
      </c>
      <c r="B39" s="3" t="s">
        <v>16</v>
      </c>
      <c r="C39" s="22" t="s">
        <v>18</v>
      </c>
      <c r="D39" s="62" t="s">
        <v>14</v>
      </c>
      <c r="F39" s="95">
        <v>44670</v>
      </c>
      <c r="G39" s="98" t="s">
        <v>30</v>
      </c>
      <c r="H39" s="102">
        <v>500000</v>
      </c>
      <c r="I39" s="94">
        <f>'JOSE '!K17</f>
        <v>400000</v>
      </c>
      <c r="K39" s="95"/>
      <c r="L39" s="98"/>
      <c r="M39" s="102">
        <f>WALTER!J18</f>
        <v>0</v>
      </c>
      <c r="N39" s="94">
        <f>WALTER!K18</f>
        <v>741000</v>
      </c>
    </row>
    <row r="40" spans="1:14" ht="18" customHeight="1">
      <c r="A40" s="95">
        <v>44670</v>
      </c>
      <c r="B40" s="98" t="s">
        <v>30</v>
      </c>
      <c r="C40" s="102">
        <v>60000</v>
      </c>
      <c r="D40" s="94">
        <f>EZEQUIEL!K17</f>
        <v>672132.09</v>
      </c>
      <c r="F40" s="95"/>
      <c r="G40" s="98"/>
      <c r="H40" s="102">
        <v>0</v>
      </c>
      <c r="I40" s="94">
        <f>'JOSE '!K18</f>
        <v>400000</v>
      </c>
      <c r="K40" s="95"/>
      <c r="L40" s="98"/>
      <c r="M40" s="102">
        <f>WALTER!J19</f>
        <v>0</v>
      </c>
      <c r="N40" s="94">
        <f>WALTER!K19</f>
        <v>741000</v>
      </c>
    </row>
    <row r="41" spans="1:14" ht="17.25" customHeight="1">
      <c r="A41" s="95"/>
      <c r="B41" s="98"/>
      <c r="C41" s="102">
        <f>EZEQUIEL!J18</f>
        <v>0</v>
      </c>
      <c r="D41" s="94">
        <f>EZEQUIEL!K18</f>
        <v>672132.09</v>
      </c>
      <c r="F41" s="95"/>
      <c r="G41" s="98"/>
      <c r="H41" s="102">
        <v>0</v>
      </c>
      <c r="I41" s="94">
        <f>'JOSE '!K19</f>
        <v>400000</v>
      </c>
      <c r="K41" s="209" t="s">
        <v>166</v>
      </c>
      <c r="L41" s="209"/>
      <c r="M41" s="209"/>
      <c r="N41" s="209"/>
    </row>
    <row r="42" spans="1:14" ht="18" customHeight="1">
      <c r="A42" s="95"/>
      <c r="B42" s="98"/>
      <c r="C42" s="102">
        <f>EZEQUIEL!J19</f>
        <v>0</v>
      </c>
      <c r="D42" s="94">
        <f>EZEQUIEL!K19</f>
        <v>672132.09</v>
      </c>
      <c r="F42" s="204"/>
      <c r="G42" s="204"/>
      <c r="H42" s="204"/>
      <c r="I42" s="84"/>
      <c r="K42" s="209"/>
      <c r="L42" s="209"/>
      <c r="M42" s="209"/>
      <c r="N42" s="209"/>
    </row>
    <row r="43" spans="1:14">
      <c r="A43" s="209" t="s">
        <v>166</v>
      </c>
      <c r="B43" s="209"/>
      <c r="C43" s="209"/>
      <c r="D43" s="209"/>
      <c r="F43" s="204"/>
      <c r="G43" s="204"/>
      <c r="H43" s="204"/>
      <c r="I43" s="84"/>
      <c r="K43" s="204"/>
      <c r="L43" s="204"/>
      <c r="M43" s="204"/>
      <c r="N43" s="84"/>
    </row>
    <row r="44" spans="1:14">
      <c r="A44" s="204"/>
      <c r="B44" s="204"/>
      <c r="C44" s="204"/>
      <c r="D44" s="84"/>
      <c r="F44" s="204"/>
      <c r="G44" s="204"/>
      <c r="H44" s="204"/>
      <c r="I44" s="84"/>
      <c r="K44" s="204"/>
      <c r="L44" s="204"/>
      <c r="M44" s="204"/>
      <c r="N44" s="204"/>
    </row>
    <row r="45" spans="1:14">
      <c r="A45" s="204"/>
      <c r="B45" s="204"/>
      <c r="C45" s="204"/>
      <c r="D45" s="84"/>
      <c r="F45" s="204"/>
      <c r="G45" s="204"/>
      <c r="H45" s="204"/>
      <c r="I45" s="84"/>
      <c r="K45" s="204"/>
      <c r="L45" s="204"/>
      <c r="M45" s="204"/>
      <c r="N45" s="204"/>
    </row>
    <row r="46" spans="1:14" ht="15.75" customHeight="1">
      <c r="B46" s="204"/>
      <c r="C46" s="204"/>
      <c r="D46" s="84"/>
      <c r="F46" s="204"/>
      <c r="G46" s="204"/>
      <c r="H46" s="204"/>
      <c r="I46" s="84"/>
      <c r="K46" s="204"/>
      <c r="L46" s="204"/>
      <c r="M46" s="204"/>
      <c r="N46" s="204"/>
    </row>
    <row r="47" spans="1:14" ht="15.75" customHeight="1">
      <c r="A47" s="204"/>
      <c r="B47" s="204"/>
      <c r="C47" s="204"/>
      <c r="D47" s="84"/>
      <c r="F47" s="204"/>
      <c r="G47" s="204"/>
      <c r="H47" s="204"/>
      <c r="I47" s="84"/>
      <c r="K47" s="204"/>
      <c r="L47" s="204"/>
      <c r="M47" s="204"/>
      <c r="N47" s="204"/>
    </row>
    <row r="48" spans="1:14" ht="15.75" customHeight="1">
      <c r="A48" s="204"/>
      <c r="B48" s="204"/>
      <c r="C48" s="204"/>
      <c r="D48" s="84"/>
      <c r="F48" s="204"/>
      <c r="G48" s="204"/>
      <c r="H48" s="204"/>
      <c r="I48" s="84"/>
      <c r="K48" s="204"/>
      <c r="L48" s="204"/>
      <c r="M48" s="204"/>
      <c r="N48" s="204"/>
    </row>
    <row r="49" spans="1:14">
      <c r="A49" s="204"/>
      <c r="B49" s="204"/>
      <c r="C49" s="204"/>
      <c r="D49" s="84"/>
      <c r="F49" s="204"/>
      <c r="G49" s="204"/>
      <c r="H49" s="204"/>
      <c r="I49" s="204"/>
      <c r="K49" s="204"/>
      <c r="L49" s="204"/>
      <c r="M49" s="204"/>
      <c r="N49" s="204"/>
    </row>
    <row r="50" spans="1:14">
      <c r="A50" s="204"/>
      <c r="B50" s="204"/>
      <c r="C50" s="204"/>
      <c r="D50" s="84"/>
      <c r="F50" s="204"/>
      <c r="G50" s="204"/>
      <c r="H50" s="204"/>
      <c r="I50" s="204"/>
      <c r="K50" s="204"/>
      <c r="L50" s="204"/>
      <c r="M50" s="204"/>
      <c r="N50" s="204"/>
    </row>
    <row r="51" spans="1:14">
      <c r="A51" s="204"/>
      <c r="B51" s="204"/>
      <c r="C51" s="204"/>
      <c r="D51" s="84"/>
      <c r="F51" s="204"/>
      <c r="G51" s="204"/>
      <c r="H51" s="204"/>
      <c r="I51" s="204"/>
      <c r="K51" s="204"/>
      <c r="L51" s="204"/>
      <c r="M51" s="204"/>
      <c r="N51" s="204"/>
    </row>
    <row r="52" spans="1:14">
      <c r="A52" s="204"/>
      <c r="B52" s="204"/>
      <c r="C52" s="204"/>
      <c r="D52" s="84"/>
      <c r="I52" s="9"/>
      <c r="K52" s="204"/>
      <c r="L52" s="204"/>
      <c r="M52" s="204"/>
      <c r="N52" s="204"/>
    </row>
    <row r="53" spans="1:14" ht="15" customHeight="1">
      <c r="A53" s="204"/>
      <c r="B53" s="204"/>
      <c r="C53" s="204"/>
      <c r="D53" s="204"/>
      <c r="K53" s="204"/>
      <c r="L53" s="204"/>
      <c r="M53" s="204"/>
      <c r="N53" s="204"/>
    </row>
    <row r="54" spans="1:14" ht="15" customHeight="1">
      <c r="F54" s="207" t="s">
        <v>8</v>
      </c>
      <c r="G54" s="207"/>
      <c r="H54" s="207"/>
      <c r="I54" s="207"/>
    </row>
    <row r="55" spans="1:14" ht="15" customHeight="1">
      <c r="F55" s="207"/>
      <c r="G55" s="207"/>
      <c r="H55" s="207"/>
      <c r="I55" s="207"/>
    </row>
    <row r="56" spans="1:14" ht="15.75" customHeight="1">
      <c r="A56" s="207" t="s">
        <v>8</v>
      </c>
      <c r="B56" s="207"/>
      <c r="C56" s="207"/>
      <c r="D56" s="207"/>
      <c r="F56" s="59" t="s">
        <v>10</v>
      </c>
      <c r="G56" s="109" t="str">
        <f>ISAIAS!I6</f>
        <v>ISAIAS</v>
      </c>
      <c r="H56" s="47" t="s">
        <v>9</v>
      </c>
      <c r="I56" s="65">
        <f ca="1">ISAIAS!K6</f>
        <v>44716</v>
      </c>
      <c r="K56" s="207" t="s">
        <v>8</v>
      </c>
      <c r="L56" s="207"/>
      <c r="M56" s="207"/>
      <c r="N56" s="207"/>
    </row>
    <row r="57" spans="1:14">
      <c r="A57" s="207"/>
      <c r="B57" s="207"/>
      <c r="C57" s="207"/>
      <c r="D57" s="207"/>
      <c r="F57" s="61" t="s">
        <v>16</v>
      </c>
      <c r="G57" t="s">
        <v>17</v>
      </c>
      <c r="H57" s="22" t="s">
        <v>18</v>
      </c>
      <c r="I57" s="62" t="s">
        <v>19</v>
      </c>
      <c r="K57" s="207"/>
      <c r="L57" s="207"/>
      <c r="M57" s="207"/>
      <c r="N57" s="207"/>
    </row>
    <row r="58" spans="1:14" ht="20.25">
      <c r="A58" s="59" t="s">
        <v>10</v>
      </c>
      <c r="B58" s="109" t="s">
        <v>120</v>
      </c>
      <c r="C58" s="47" t="s">
        <v>9</v>
      </c>
      <c r="D58" s="65">
        <f ca="1">JUNIOR!K6</f>
        <v>44716</v>
      </c>
      <c r="F58" s="104" t="s">
        <v>20</v>
      </c>
      <c r="G58" s="91">
        <f>ISAIAS!I8</f>
        <v>5000</v>
      </c>
      <c r="H58" s="92">
        <f>ISAIAS!J8</f>
        <v>99</v>
      </c>
      <c r="I58" s="107">
        <f>ISAIAS!K8</f>
        <v>495000</v>
      </c>
      <c r="K58" s="59" t="s">
        <v>10</v>
      </c>
      <c r="L58" s="109" t="s">
        <v>68</v>
      </c>
      <c r="M58" s="47" t="s">
        <v>9</v>
      </c>
      <c r="N58" s="65">
        <f ca="1">DANIEL!K7</f>
        <v>44716</v>
      </c>
    </row>
    <row r="59" spans="1:14" ht="18" customHeight="1">
      <c r="A59" s="61" t="s">
        <v>16</v>
      </c>
      <c r="B59" t="s">
        <v>17</v>
      </c>
      <c r="C59" s="22" t="s">
        <v>18</v>
      </c>
      <c r="D59" s="62" t="s">
        <v>19</v>
      </c>
      <c r="F59" s="104" t="s">
        <v>21</v>
      </c>
      <c r="G59" s="91">
        <f>ISAIAS!I9</f>
        <v>7500</v>
      </c>
      <c r="H59" s="92">
        <f>ISAIAS!J9</f>
        <v>32</v>
      </c>
      <c r="I59" s="107">
        <f>ISAIAS!K9</f>
        <v>240000</v>
      </c>
      <c r="K59" s="61" t="s">
        <v>16</v>
      </c>
      <c r="L59" t="s">
        <v>17</v>
      </c>
      <c r="M59" s="22" t="s">
        <v>18</v>
      </c>
      <c r="N59" s="62" t="s">
        <v>19</v>
      </c>
    </row>
    <row r="60" spans="1:14" ht="19.5" customHeight="1">
      <c r="A60" s="104" t="s">
        <v>20</v>
      </c>
      <c r="B60" s="91">
        <f>JUNIOR!I8</f>
        <v>4500</v>
      </c>
      <c r="C60" s="92">
        <f>JUNIOR!J8</f>
        <v>33</v>
      </c>
      <c r="D60" s="107">
        <f>JUNIOR!K8</f>
        <v>148500</v>
      </c>
      <c r="F60" s="104" t="s">
        <v>23</v>
      </c>
      <c r="G60" s="91">
        <f>ISAIAS!I10</f>
        <v>6000</v>
      </c>
      <c r="H60" s="92">
        <f>ISAIAS!J10</f>
        <v>12</v>
      </c>
      <c r="I60" s="107">
        <f>ISAIAS!K10</f>
        <v>72000</v>
      </c>
      <c r="K60" s="104" t="s">
        <v>20</v>
      </c>
      <c r="L60" s="91">
        <f>DANIEL!I9</f>
        <v>5000</v>
      </c>
      <c r="M60" s="92">
        <f>DANIEL!J9</f>
        <v>99</v>
      </c>
      <c r="N60" s="107">
        <f>DANIEL!K9</f>
        <v>495000</v>
      </c>
    </row>
    <row r="61" spans="1:14" ht="19.5" customHeight="1">
      <c r="A61" s="104" t="s">
        <v>21</v>
      </c>
      <c r="B61" s="91">
        <f>JUNIOR!I9</f>
        <v>6750</v>
      </c>
      <c r="C61" s="92">
        <f>JUNIOR!J9</f>
        <v>1</v>
      </c>
      <c r="D61" s="107">
        <f>JUNIOR!K9</f>
        <v>6750</v>
      </c>
      <c r="F61" s="104" t="s">
        <v>25</v>
      </c>
      <c r="G61" s="91">
        <f>ISAIAS!I11</f>
        <v>90000</v>
      </c>
      <c r="H61" s="92">
        <f>ISAIAS!J11</f>
        <v>1</v>
      </c>
      <c r="I61" s="107">
        <f>ISAIAS!K11</f>
        <v>90000</v>
      </c>
      <c r="K61" s="104" t="s">
        <v>21</v>
      </c>
      <c r="L61" s="91">
        <f>DANIEL!I10</f>
        <v>7500</v>
      </c>
      <c r="M61" s="92">
        <f>DANIEL!J10</f>
        <v>32</v>
      </c>
      <c r="N61" s="107">
        <f>DANIEL!K10</f>
        <v>240000</v>
      </c>
    </row>
    <row r="62" spans="1:14" ht="18" customHeight="1">
      <c r="A62" s="104" t="s">
        <v>23</v>
      </c>
      <c r="B62" s="91">
        <f>JUNIOR!I10</f>
        <v>6000</v>
      </c>
      <c r="C62" s="92">
        <f>JUNIOR!J10</f>
        <v>2</v>
      </c>
      <c r="D62" s="107">
        <f>JUNIOR!K10</f>
        <v>12000</v>
      </c>
      <c r="F62" s="104" t="s">
        <v>55</v>
      </c>
      <c r="G62" s="91">
        <f>ISAIAS!I12</f>
        <v>35000</v>
      </c>
      <c r="H62" s="92"/>
      <c r="I62" s="121">
        <f>ISAIAS!K12</f>
        <v>35000</v>
      </c>
      <c r="K62" s="104" t="s">
        <v>23</v>
      </c>
      <c r="L62" s="91">
        <f>DANIEL!I11</f>
        <v>6000</v>
      </c>
      <c r="M62" s="92">
        <f>DANIEL!J11</f>
        <v>11</v>
      </c>
      <c r="N62" s="107">
        <f>DANIEL!K11</f>
        <v>66000</v>
      </c>
    </row>
    <row r="63" spans="1:14" ht="18.75" customHeight="1">
      <c r="A63" s="104" t="s">
        <v>25</v>
      </c>
      <c r="B63" s="91">
        <f>JUNIOR!I11</f>
        <v>70000</v>
      </c>
      <c r="C63" s="92"/>
      <c r="D63" s="107">
        <f>JUNIOR!K11</f>
        <v>0</v>
      </c>
      <c r="F63" s="104"/>
      <c r="G63" s="91"/>
      <c r="H63" s="92">
        <f>ISAIAS!J13</f>
        <v>0</v>
      </c>
      <c r="I63" s="107">
        <f>ISAIAS!K13</f>
        <v>0</v>
      </c>
      <c r="K63" s="104" t="s">
        <v>25</v>
      </c>
      <c r="L63" s="91">
        <f>DANIEL!I12</f>
        <v>90000</v>
      </c>
      <c r="M63" s="92">
        <f>DANIEL!J12</f>
        <v>1</v>
      </c>
      <c r="N63" s="107">
        <f>DANIEL!K12</f>
        <v>90000</v>
      </c>
    </row>
    <row r="64" spans="1:14" ht="19.5" customHeight="1">
      <c r="A64" s="104"/>
      <c r="B64" s="91"/>
      <c r="C64" s="92">
        <f>JUNIOR!J12</f>
        <v>0</v>
      </c>
      <c r="D64" s="107">
        <f>JUNIOR!K12</f>
        <v>0</v>
      </c>
      <c r="F64" s="90" t="s">
        <v>26</v>
      </c>
      <c r="G64" s="104"/>
      <c r="H64" s="105"/>
      <c r="I64" s="94">
        <f>SUBTOTAL(109,Tabla23141114485052[SUB TOTAL])</f>
        <v>932000</v>
      </c>
      <c r="K64" s="104" t="s">
        <v>24</v>
      </c>
      <c r="L64" s="91">
        <f>DANIEL!I13</f>
        <v>35000</v>
      </c>
      <c r="M64" s="92">
        <f>DANIEL!J13</f>
        <v>1</v>
      </c>
      <c r="N64" s="121">
        <f>DANIEL!K13</f>
        <v>35000</v>
      </c>
    </row>
    <row r="65" spans="1:14" ht="18.75" customHeight="1">
      <c r="A65" s="90" t="s">
        <v>26</v>
      </c>
      <c r="B65" s="104"/>
      <c r="C65" s="105"/>
      <c r="D65" s="94">
        <f>SUBTOTAL(109,Tabla231411144850[SUB TOTAL])</f>
        <v>167250</v>
      </c>
      <c r="F65" s="211" t="s">
        <v>27</v>
      </c>
      <c r="G65" s="211"/>
      <c r="H65" s="211"/>
      <c r="I65" s="211"/>
      <c r="K65" s="104"/>
      <c r="L65" s="91"/>
      <c r="M65" s="92">
        <f>DANIEL!J14</f>
        <v>0</v>
      </c>
      <c r="N65" s="107">
        <f>DANIEL!K14</f>
        <v>0</v>
      </c>
    </row>
    <row r="66" spans="1:14" ht="15.75">
      <c r="A66" s="211" t="s">
        <v>27</v>
      </c>
      <c r="B66" s="211"/>
      <c r="C66" s="211"/>
      <c r="D66" s="211"/>
      <c r="F66" s="61" t="s">
        <v>11</v>
      </c>
      <c r="G66" s="3" t="s">
        <v>16</v>
      </c>
      <c r="H66" s="22" t="s">
        <v>18</v>
      </c>
      <c r="I66" s="62" t="s">
        <v>14</v>
      </c>
      <c r="K66" s="90" t="s">
        <v>26</v>
      </c>
      <c r="L66" s="104"/>
      <c r="M66" s="105"/>
      <c r="N66" s="94">
        <f>SUBTOTAL(109,Tabla2314111448505254[SUB TOTAL])</f>
        <v>926000</v>
      </c>
    </row>
    <row r="67" spans="1:14" ht="17.25" customHeight="1">
      <c r="A67" s="61" t="s">
        <v>11</v>
      </c>
      <c r="B67" s="3" t="s">
        <v>16</v>
      </c>
      <c r="C67" s="22" t="s">
        <v>18</v>
      </c>
      <c r="D67" s="62" t="s">
        <v>14</v>
      </c>
      <c r="F67" s="95">
        <v>44670</v>
      </c>
      <c r="G67" s="98" t="s">
        <v>30</v>
      </c>
      <c r="H67" s="102">
        <v>200000</v>
      </c>
      <c r="I67" s="94">
        <f>ISAIAS!K17</f>
        <v>732000</v>
      </c>
      <c r="K67" s="211" t="s">
        <v>27</v>
      </c>
      <c r="L67" s="211"/>
      <c r="M67" s="211"/>
      <c r="N67" s="211"/>
    </row>
    <row r="68" spans="1:14" ht="18.75" customHeight="1">
      <c r="A68" s="95"/>
      <c r="B68" s="98"/>
      <c r="C68" s="102">
        <f>JUNIOR!J16</f>
        <v>0</v>
      </c>
      <c r="D68" s="94">
        <f>JUNIOR!K16</f>
        <v>167250</v>
      </c>
      <c r="F68" s="95"/>
      <c r="G68" s="98"/>
      <c r="H68" s="102">
        <f>ISAIAS!J18</f>
        <v>0</v>
      </c>
      <c r="I68" s="94">
        <f>ISAIAS!K18</f>
        <v>732000</v>
      </c>
      <c r="K68" s="61" t="s">
        <v>11</v>
      </c>
      <c r="L68" s="3" t="s">
        <v>16</v>
      </c>
      <c r="M68" s="22" t="s">
        <v>18</v>
      </c>
      <c r="N68" s="62" t="s">
        <v>14</v>
      </c>
    </row>
    <row r="69" spans="1:14" ht="20.25" customHeight="1">
      <c r="A69" s="95"/>
      <c r="B69" s="98"/>
      <c r="C69" s="102">
        <f>JUNIOR!J17</f>
        <v>0</v>
      </c>
      <c r="D69" s="94">
        <f>JUNIOR!K17</f>
        <v>167250</v>
      </c>
      <c r="F69" s="95"/>
      <c r="G69" s="98"/>
      <c r="H69" s="102">
        <f>ISAIAS!J19</f>
        <v>0</v>
      </c>
      <c r="I69" s="94">
        <f>ISAIAS!K19</f>
        <v>732000</v>
      </c>
      <c r="K69" s="95">
        <v>44670</v>
      </c>
      <c r="L69" s="98" t="s">
        <v>30</v>
      </c>
      <c r="M69" s="102">
        <v>60000</v>
      </c>
      <c r="N69" s="94">
        <f>DANIEL!K18</f>
        <v>866000</v>
      </c>
    </row>
    <row r="70" spans="1:14" ht="20.25" customHeight="1">
      <c r="A70" s="95"/>
      <c r="B70" s="98"/>
      <c r="C70" s="102">
        <f>JUNIOR!J18</f>
        <v>0</v>
      </c>
      <c r="D70" s="94">
        <f>JUNIOR!K18</f>
        <v>167250</v>
      </c>
      <c r="F70" s="212" t="s">
        <v>166</v>
      </c>
      <c r="G70" s="212"/>
      <c r="H70" s="212"/>
      <c r="I70" s="212"/>
      <c r="K70" s="95"/>
      <c r="L70" s="98"/>
      <c r="M70" s="102">
        <f>DANIEL!J19</f>
        <v>0</v>
      </c>
      <c r="N70" s="94">
        <f>DANIEL!K19</f>
        <v>866000</v>
      </c>
    </row>
    <row r="71" spans="1:14" ht="15" customHeight="1">
      <c r="A71" s="117"/>
      <c r="B71" s="98"/>
      <c r="C71" s="118">
        <f>JUNIOR!J19</f>
        <v>0</v>
      </c>
      <c r="D71" s="99"/>
      <c r="F71" s="165"/>
      <c r="G71" s="165"/>
      <c r="H71" s="165"/>
      <c r="I71" s="165"/>
      <c r="K71" s="95"/>
      <c r="L71" s="98"/>
      <c r="M71" s="102">
        <f>DANIEL!J20</f>
        <v>0</v>
      </c>
      <c r="N71" s="94">
        <f>DANIEL!K20</f>
        <v>866000</v>
      </c>
    </row>
    <row r="72" spans="1:14" ht="15" customHeight="1">
      <c r="F72" s="165"/>
      <c r="G72" s="165"/>
      <c r="H72" s="165"/>
      <c r="I72" s="165"/>
      <c r="J72" s="165"/>
      <c r="K72" s="213" t="s">
        <v>166</v>
      </c>
      <c r="L72" s="214"/>
      <c r="M72" s="214"/>
      <c r="N72" s="215"/>
    </row>
    <row r="73" spans="1:14" ht="18.75" customHeight="1">
      <c r="A73" s="216" t="s">
        <v>8</v>
      </c>
      <c r="B73" s="217"/>
      <c r="C73" s="217"/>
      <c r="D73" s="218"/>
      <c r="F73" s="207" t="s">
        <v>8</v>
      </c>
      <c r="G73" s="207"/>
      <c r="H73" s="207"/>
      <c r="I73" s="207"/>
      <c r="J73" s="165"/>
      <c r="K73" s="216" t="s">
        <v>8</v>
      </c>
      <c r="L73" s="217"/>
      <c r="M73" s="217"/>
      <c r="N73" s="218"/>
    </row>
    <row r="74" spans="1:14" ht="15.75" customHeight="1">
      <c r="A74" s="219"/>
      <c r="B74" s="220"/>
      <c r="C74" s="220"/>
      <c r="D74" s="221"/>
      <c r="F74" s="207"/>
      <c r="G74" s="207"/>
      <c r="H74" s="207"/>
      <c r="I74" s="207"/>
      <c r="J74" s="165"/>
      <c r="K74" s="219"/>
      <c r="L74" s="220"/>
      <c r="M74" s="220"/>
      <c r="N74" s="221"/>
    </row>
    <row r="75" spans="1:14" ht="15.75" customHeight="1">
      <c r="A75" s="45" t="s">
        <v>10</v>
      </c>
      <c r="B75" s="49" t="s">
        <v>149</v>
      </c>
      <c r="C75" s="47" t="s">
        <v>9</v>
      </c>
      <c r="D75" s="48">
        <f ca="1">TODAY()</f>
        <v>44716</v>
      </c>
      <c r="F75" s="59" t="s">
        <v>10</v>
      </c>
      <c r="G75" s="159" t="s">
        <v>103</v>
      </c>
      <c r="H75" s="47" t="s">
        <v>9</v>
      </c>
      <c r="I75" s="65">
        <f ca="1">EZEQUIEL!K7</f>
        <v>44716</v>
      </c>
      <c r="J75" s="165"/>
      <c r="K75" s="45" t="s">
        <v>10</v>
      </c>
      <c r="L75" s="49" t="s">
        <v>141</v>
      </c>
      <c r="M75" s="47" t="s">
        <v>9</v>
      </c>
      <c r="N75" s="48">
        <f ca="1">TODAY()</f>
        <v>44716</v>
      </c>
    </row>
    <row r="76" spans="1:14">
      <c r="A76" t="s">
        <v>16</v>
      </c>
      <c r="B76" t="s">
        <v>17</v>
      </c>
      <c r="C76" s="22" t="s">
        <v>18</v>
      </c>
      <c r="D76" t="s">
        <v>19</v>
      </c>
      <c r="F76" s="61" t="s">
        <v>16</v>
      </c>
      <c r="G76" t="s">
        <v>17</v>
      </c>
      <c r="H76" s="22" t="s">
        <v>18</v>
      </c>
      <c r="I76" s="62" t="s">
        <v>19</v>
      </c>
      <c r="J76" s="165"/>
      <c r="K76" t="s">
        <v>16</v>
      </c>
      <c r="L76" t="s">
        <v>17</v>
      </c>
      <c r="M76" s="22" t="s">
        <v>18</v>
      </c>
      <c r="N76" t="s">
        <v>19</v>
      </c>
    </row>
    <row r="77" spans="1:14" ht="18.75" customHeight="1">
      <c r="A77" t="s">
        <v>20</v>
      </c>
      <c r="B77" s="3">
        <v>3700</v>
      </c>
      <c r="C77" s="22">
        <f>RENZO!J9</f>
        <v>47</v>
      </c>
      <c r="D77" s="3">
        <f>Tabla231411141618231118[[#This Row],[VALOR]]*Tabla231411141618231118[[#This Row],[CANTIDAD]]</f>
        <v>173900</v>
      </c>
      <c r="F77" s="104" t="s">
        <v>20</v>
      </c>
      <c r="G77" s="91">
        <f>'ALAN '!I9</f>
        <v>4500</v>
      </c>
      <c r="H77" s="92">
        <f>'ALAN '!J9</f>
        <v>96</v>
      </c>
      <c r="I77" s="107">
        <f>'ALAN '!K9</f>
        <v>432000</v>
      </c>
      <c r="J77" s="165"/>
      <c r="K77" t="s">
        <v>20</v>
      </c>
      <c r="L77" s="3">
        <v>3700</v>
      </c>
      <c r="M77" s="22">
        <f>KEVIN!J9</f>
        <v>70</v>
      </c>
      <c r="N77" s="3">
        <f>Tabla231411141672[[#This Row],[VALOR]]*Tabla231411141672[[#This Row],[CANTIDAD]]</f>
        <v>259000</v>
      </c>
    </row>
    <row r="78" spans="1:14" ht="19.5" customHeight="1">
      <c r="A78" t="s">
        <v>21</v>
      </c>
      <c r="B78" s="3">
        <v>5550</v>
      </c>
      <c r="C78" s="22">
        <v>14</v>
      </c>
      <c r="D78" s="3">
        <f>Tabla231411141618231118[[#This Row],[VALOR]]*Tabla231411141618231118[[#This Row],[CANTIDAD]]</f>
        <v>77700</v>
      </c>
      <c r="F78" s="104" t="s">
        <v>21</v>
      </c>
      <c r="G78" s="91">
        <f>'ALAN '!I10</f>
        <v>6750</v>
      </c>
      <c r="H78" s="92">
        <f>'ALAN '!J10</f>
        <v>22</v>
      </c>
      <c r="I78" s="107">
        <f>'ALAN '!K10</f>
        <v>148500</v>
      </c>
      <c r="J78" s="165"/>
      <c r="K78" t="s">
        <v>21</v>
      </c>
      <c r="L78" s="3">
        <v>5550</v>
      </c>
      <c r="M78" s="22">
        <f>KEVIN!J10</f>
        <v>13</v>
      </c>
      <c r="N78" s="3">
        <f>Tabla231411141672[[#This Row],[VALOR]]*Tabla231411141672[[#This Row],[CANTIDAD]]</f>
        <v>72150</v>
      </c>
    </row>
    <row r="79" spans="1:14" ht="18.75" customHeight="1">
      <c r="A79" t="s">
        <v>23</v>
      </c>
      <c r="B79" s="3">
        <v>4000</v>
      </c>
      <c r="C79" s="22">
        <f>RENZO!J11</f>
        <v>5</v>
      </c>
      <c r="D79" s="3">
        <f>Tabla231411141618231118[[#This Row],[VALOR]]*Tabla231411141618231118[[#This Row],[CANTIDAD]]</f>
        <v>20000</v>
      </c>
      <c r="F79" s="104" t="s">
        <v>23</v>
      </c>
      <c r="G79" s="91">
        <f>'ALAN '!I11</f>
        <v>6000</v>
      </c>
      <c r="H79" s="92">
        <f>'ALAN '!J11</f>
        <v>10</v>
      </c>
      <c r="I79" s="107">
        <f>'ALAN '!K11</f>
        <v>60000</v>
      </c>
      <c r="J79" s="165"/>
      <c r="K79" t="s">
        <v>142</v>
      </c>
      <c r="L79" s="3">
        <v>4000</v>
      </c>
      <c r="M79" s="22">
        <f>KEVIN!J11</f>
        <v>7</v>
      </c>
      <c r="N79" s="3">
        <f>Tabla231411141672[[#This Row],[VALOR]]*Tabla231411141672[[#This Row],[CANTIDAD]]</f>
        <v>28000</v>
      </c>
    </row>
    <row r="80" spans="1:14" ht="18.75" customHeight="1">
      <c r="A80" t="s">
        <v>25</v>
      </c>
      <c r="B80" s="3">
        <v>70000</v>
      </c>
      <c r="C80" s="89"/>
      <c r="D80" s="3">
        <f>Tabla231411141618231118[[#This Row],[VALOR]]*Tabla231411141618231118[[#This Row],[CANTIDAD]]</f>
        <v>0</v>
      </c>
      <c r="F80" s="104" t="s">
        <v>25</v>
      </c>
      <c r="G80" s="91">
        <v>70000</v>
      </c>
      <c r="H80" s="92">
        <f>'ALAN '!J12</f>
        <v>1</v>
      </c>
      <c r="I80" s="107">
        <f>'ALAN '!K12</f>
        <v>70000</v>
      </c>
      <c r="J80" s="165"/>
      <c r="K80" t="s">
        <v>25</v>
      </c>
      <c r="L80" s="3">
        <v>70000</v>
      </c>
      <c r="M80" s="22"/>
      <c r="N80" s="3">
        <f>Tabla231411141672[[#This Row],[VALOR]]*Tabla231411141672[[#This Row],[CANTIDAD]]</f>
        <v>0</v>
      </c>
    </row>
    <row r="81" spans="1:14" ht="18.75" customHeight="1">
      <c r="A81" t="s">
        <v>150</v>
      </c>
      <c r="B81" s="3"/>
      <c r="C81" s="22"/>
      <c r="D81" s="3">
        <f>Tabla231411141618231118[[#This Row],[VALOR]]*Tabla231411141618231118[[#This Row],[CANTIDAD]]</f>
        <v>0</v>
      </c>
      <c r="F81" s="104"/>
      <c r="G81" s="91"/>
      <c r="H81" s="92">
        <f>'ALAN '!J13</f>
        <v>0</v>
      </c>
      <c r="I81" s="107">
        <f>'ALAN '!K13</f>
        <v>0</v>
      </c>
      <c r="J81" s="165"/>
      <c r="L81" s="3"/>
      <c r="M81" s="22"/>
      <c r="N81" s="3">
        <f>Tabla231411141672[[#This Row],[VALOR]]*Tabla231411141672[[#This Row],[CANTIDAD]]</f>
        <v>0</v>
      </c>
    </row>
    <row r="82" spans="1:14" ht="20.25" customHeight="1">
      <c r="A82" t="s">
        <v>26</v>
      </c>
      <c r="C82" s="26"/>
      <c r="D82" s="9">
        <f>SUBTOTAL(109,Tabla231411141618231118[SUB TOTAL])</f>
        <v>271600</v>
      </c>
      <c r="F82" s="90" t="s">
        <v>26</v>
      </c>
      <c r="G82" s="104"/>
      <c r="H82" s="105"/>
      <c r="I82" s="94">
        <f>Tabla2314111416182368[[#Totals],[SUB TOTAL]]</f>
        <v>710500</v>
      </c>
      <c r="J82" s="165"/>
      <c r="K82" t="s">
        <v>26</v>
      </c>
      <c r="M82" s="26"/>
      <c r="N82" s="9">
        <f>SUBTOTAL(109,Tabla231411141672[SUB TOTAL])</f>
        <v>359150</v>
      </c>
    </row>
    <row r="83" spans="1:14" ht="20.25" customHeight="1">
      <c r="A83" s="222" t="s">
        <v>27</v>
      </c>
      <c r="B83" s="222"/>
      <c r="C83" s="222"/>
      <c r="D83" s="222"/>
      <c r="F83" s="211" t="s">
        <v>27</v>
      </c>
      <c r="G83" s="211"/>
      <c r="H83" s="211"/>
      <c r="I83" s="211"/>
      <c r="J83" s="165"/>
      <c r="K83" s="222" t="s">
        <v>27</v>
      </c>
      <c r="L83" s="222"/>
      <c r="M83" s="222"/>
      <c r="N83" s="222"/>
    </row>
    <row r="84" spans="1:14">
      <c r="A84" t="s">
        <v>11</v>
      </c>
      <c r="B84" s="3" t="s">
        <v>16</v>
      </c>
      <c r="C84" s="22" t="s">
        <v>18</v>
      </c>
      <c r="D84" t="s">
        <v>14</v>
      </c>
      <c r="F84" s="61" t="s">
        <v>11</v>
      </c>
      <c r="G84" s="3" t="s">
        <v>16</v>
      </c>
      <c r="H84" s="22" t="s">
        <v>18</v>
      </c>
      <c r="I84" s="62" t="s">
        <v>14</v>
      </c>
      <c r="J84" s="165"/>
      <c r="K84" t="s">
        <v>11</v>
      </c>
      <c r="L84" s="3" t="s">
        <v>16</v>
      </c>
      <c r="M84" s="22" t="s">
        <v>18</v>
      </c>
      <c r="N84" t="s">
        <v>14</v>
      </c>
    </row>
    <row r="85" spans="1:14" ht="19.5" customHeight="1">
      <c r="A85" s="10"/>
      <c r="C85" s="22"/>
      <c r="D85" s="9">
        <f>RENZO!K17</f>
        <v>271600</v>
      </c>
      <c r="F85" s="95">
        <v>44670</v>
      </c>
      <c r="G85" s="98" t="s">
        <v>30</v>
      </c>
      <c r="H85" s="102">
        <f>'ALAN '!J17</f>
        <v>50000</v>
      </c>
      <c r="I85" s="94">
        <f>'ALAN '!K17</f>
        <v>660500</v>
      </c>
      <c r="J85" s="165"/>
      <c r="K85" s="10"/>
      <c r="M85" s="22"/>
      <c r="N85" s="9">
        <f t="shared" ref="N85" si="0">N82-M85</f>
        <v>359150</v>
      </c>
    </row>
    <row r="86" spans="1:14" ht="19.5" customHeight="1">
      <c r="A86" s="10"/>
      <c r="C86" s="21"/>
      <c r="D86" s="9">
        <f>D85-C86</f>
        <v>271600</v>
      </c>
      <c r="F86" s="95"/>
      <c r="G86" s="98"/>
      <c r="H86" s="102">
        <f>'ALAN '!J18</f>
        <v>0</v>
      </c>
      <c r="I86" s="94">
        <f>I85-Tabla332101315495157586058[[#This Row],[CANTIDAD]]</f>
        <v>660500</v>
      </c>
      <c r="J86" s="165"/>
      <c r="K86" s="10"/>
      <c r="M86" s="21">
        <v>0</v>
      </c>
      <c r="N86" s="9">
        <f>N85-M86</f>
        <v>359150</v>
      </c>
    </row>
    <row r="87" spans="1:14" ht="18.75" customHeight="1">
      <c r="A87" s="10"/>
      <c r="C87" s="21"/>
      <c r="D87" s="9">
        <f>D86-C87</f>
        <v>271600</v>
      </c>
      <c r="F87" s="95"/>
      <c r="G87" s="98"/>
      <c r="H87" s="102"/>
      <c r="I87" s="94">
        <f>I86-Tabla332101315495157586058[[#This Row],[CANTIDAD]]</f>
        <v>660500</v>
      </c>
      <c r="J87" s="165"/>
      <c r="K87" s="10"/>
      <c r="M87" s="21"/>
      <c r="N87" s="9">
        <f>N86-M87</f>
        <v>359150</v>
      </c>
    </row>
    <row r="88" spans="1:14" ht="18.75" customHeight="1">
      <c r="A88" s="224" t="s">
        <v>31</v>
      </c>
      <c r="B88" s="224"/>
      <c r="C88" s="224"/>
      <c r="D88" s="224"/>
      <c r="F88" s="209" t="s">
        <v>166</v>
      </c>
      <c r="G88" s="209"/>
      <c r="H88" s="209"/>
      <c r="I88" s="209"/>
      <c r="J88" s="165"/>
      <c r="K88" s="223"/>
      <c r="L88" s="223"/>
      <c r="M88" s="223"/>
      <c r="N88" s="223"/>
    </row>
    <row r="89" spans="1:14" ht="15" customHeight="1">
      <c r="A89" s="224"/>
      <c r="B89" s="224"/>
      <c r="C89" s="224"/>
      <c r="D89" s="224"/>
      <c r="F89" s="165"/>
      <c r="G89" s="165"/>
      <c r="H89" s="165"/>
      <c r="I89" s="165"/>
      <c r="J89" s="165"/>
      <c r="K89" s="165"/>
      <c r="L89" s="165"/>
      <c r="M89" s="165"/>
      <c r="N89" s="165"/>
    </row>
    <row r="90" spans="1:14">
      <c r="J90" s="165"/>
      <c r="K90" s="165"/>
      <c r="L90" s="165"/>
      <c r="M90" s="167"/>
      <c r="N90" s="192"/>
    </row>
    <row r="91" spans="1:14">
      <c r="K91" s="165"/>
      <c r="L91" s="165"/>
      <c r="M91" s="167"/>
      <c r="N91" s="166"/>
    </row>
    <row r="92" spans="1:14">
      <c r="M92" s="22"/>
      <c r="N92" s="193"/>
    </row>
    <row r="93" spans="1:14">
      <c r="M93" s="22"/>
      <c r="N93" s="3"/>
    </row>
    <row r="94" spans="1:14">
      <c r="M94" s="22"/>
      <c r="N94" s="88"/>
    </row>
    <row r="95" spans="1:14">
      <c r="M95" s="26"/>
      <c r="N95" s="26"/>
    </row>
    <row r="97" spans="13:14">
      <c r="M97" s="26"/>
      <c r="N97" s="26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35">
    <mergeCell ref="K67:N67"/>
    <mergeCell ref="K72:N72"/>
    <mergeCell ref="F88:I88"/>
    <mergeCell ref="K73:N74"/>
    <mergeCell ref="A73:D74"/>
    <mergeCell ref="F73:I74"/>
    <mergeCell ref="F83:I83"/>
    <mergeCell ref="A83:D83"/>
    <mergeCell ref="K83:N83"/>
    <mergeCell ref="K88:N88"/>
    <mergeCell ref="A88:D89"/>
    <mergeCell ref="F28:I29"/>
    <mergeCell ref="A28:D29"/>
    <mergeCell ref="A43:D43"/>
    <mergeCell ref="F70:I70"/>
    <mergeCell ref="A66:D66"/>
    <mergeCell ref="F65:I65"/>
    <mergeCell ref="K36:N36"/>
    <mergeCell ref="K41:N42"/>
    <mergeCell ref="A56:D57"/>
    <mergeCell ref="K56:N57"/>
    <mergeCell ref="A38:D38"/>
    <mergeCell ref="F54:I55"/>
    <mergeCell ref="F37:I37"/>
    <mergeCell ref="K2:N3"/>
    <mergeCell ref="K12:N12"/>
    <mergeCell ref="K17:N17"/>
    <mergeCell ref="A26:D27"/>
    <mergeCell ref="F26:I27"/>
    <mergeCell ref="K25:N26"/>
    <mergeCell ref="A2:D3"/>
    <mergeCell ref="A14:D14"/>
    <mergeCell ref="F2:I3"/>
    <mergeCell ref="F14:I14"/>
    <mergeCell ref="F21:I21"/>
  </mergeCells>
  <pageMargins left="0.7" right="0.7" top="0.75" bottom="0.75" header="0.3" footer="0.3"/>
  <pageSetup scale="66" fitToHeight="0" orientation="landscape" horizontalDpi="0" verticalDpi="0"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A908-C738-4C05-AEDC-D1AE492B4C7D}">
  <sheetPr>
    <pageSetUpPr fitToPage="1"/>
  </sheetPr>
  <dimension ref="A1:L88"/>
  <sheetViews>
    <sheetView workbookViewId="0">
      <selection activeCell="C6" sqref="C6"/>
    </sheetView>
  </sheetViews>
  <sheetFormatPr defaultRowHeight="15"/>
  <cols>
    <col min="1" max="1" width="13.140625" customWidth="1"/>
    <col min="2" max="2" width="15.5703125" customWidth="1"/>
    <col min="3" max="3" width="13.85546875" customWidth="1"/>
    <col min="4" max="4" width="17.28515625" customWidth="1"/>
    <col min="5" max="5" width="1.140625" customWidth="1"/>
    <col min="6" max="6" width="14" customWidth="1"/>
    <col min="7" max="7" width="14.5703125" customWidth="1"/>
    <col min="8" max="8" width="14.28515625" customWidth="1"/>
    <col min="9" max="9" width="16.140625" customWidth="1"/>
    <col min="10" max="10" width="1.140625" customWidth="1"/>
  </cols>
  <sheetData>
    <row r="1" spans="1:9" ht="15" customHeight="1">
      <c r="A1" s="233" t="s">
        <v>167</v>
      </c>
      <c r="B1" s="234"/>
      <c r="C1" s="234"/>
      <c r="D1" s="235"/>
      <c r="F1" s="233" t="s">
        <v>167</v>
      </c>
      <c r="G1" s="234"/>
      <c r="H1" s="234"/>
      <c r="I1" s="235"/>
    </row>
    <row r="2" spans="1:9" ht="15" customHeight="1">
      <c r="A2" s="236"/>
      <c r="B2" s="207"/>
      <c r="C2" s="207"/>
      <c r="D2" s="237"/>
      <c r="F2" s="236"/>
      <c r="G2" s="207"/>
      <c r="H2" s="207"/>
      <c r="I2" s="237"/>
    </row>
    <row r="3" spans="1:9" ht="18">
      <c r="A3" s="77" t="s">
        <v>10</v>
      </c>
      <c r="B3" s="142" t="s">
        <v>5</v>
      </c>
      <c r="C3" s="47" t="s">
        <v>9</v>
      </c>
      <c r="D3" s="78">
        <f ca="1">TODAY()</f>
        <v>44716</v>
      </c>
      <c r="F3" s="77" t="s">
        <v>10</v>
      </c>
      <c r="G3" s="142" t="s">
        <v>53</v>
      </c>
      <c r="H3" s="47" t="s">
        <v>9</v>
      </c>
      <c r="I3" s="78">
        <f ca="1">TODAY()</f>
        <v>44716</v>
      </c>
    </row>
    <row r="4" spans="1:9">
      <c r="A4" s="79" t="s">
        <v>16</v>
      </c>
      <c r="B4" s="124" t="s">
        <v>17</v>
      </c>
      <c r="C4" s="22" t="s">
        <v>18</v>
      </c>
      <c r="D4" s="80" t="s">
        <v>19</v>
      </c>
      <c r="F4" s="79" t="s">
        <v>16</v>
      </c>
      <c r="G4" s="124" t="s">
        <v>17</v>
      </c>
      <c r="H4" s="22" t="s">
        <v>18</v>
      </c>
      <c r="I4" s="80" t="s">
        <v>19</v>
      </c>
    </row>
    <row r="5" spans="1:9" ht="15.75">
      <c r="A5" s="205" t="s">
        <v>168</v>
      </c>
      <c r="B5" s="102">
        <v>4000</v>
      </c>
      <c r="C5" s="122">
        <v>14</v>
      </c>
      <c r="D5" s="125">
        <f>Tabla2314111416182356444695[[#This Row],[VALOR]]*Tabla2314111416182356444695[[#This Row],[CANTIDAD]]</f>
        <v>56000</v>
      </c>
      <c r="F5" s="205" t="s">
        <v>168</v>
      </c>
      <c r="G5" s="102">
        <v>4000</v>
      </c>
      <c r="H5" s="122">
        <v>14</v>
      </c>
      <c r="I5" s="125">
        <f>Tabla231411141618235644469575[[#This Row],[VALOR]]*Tabla231411141618235644469575[[#This Row],[CANTIDAD]]</f>
        <v>56000</v>
      </c>
    </row>
    <row r="6" spans="1:9" ht="15.75">
      <c r="A6" s="205" t="s">
        <v>169</v>
      </c>
      <c r="B6" s="102">
        <v>263410</v>
      </c>
      <c r="C6" s="103">
        <v>1</v>
      </c>
      <c r="D6" s="125">
        <f>Tabla2314111416182356444695[[#This Row],[VALOR]]*Tabla2314111416182356444695[[#This Row],[CANTIDAD]]</f>
        <v>263410</v>
      </c>
      <c r="F6" s="205" t="s">
        <v>169</v>
      </c>
      <c r="G6" s="102">
        <v>220100</v>
      </c>
      <c r="H6" s="103">
        <v>1</v>
      </c>
      <c r="I6" s="125">
        <f>Tabla231411141618235644469575[[#This Row],[VALOR]]*Tabla231411141618235644469575[[#This Row],[CANTIDAD]]</f>
        <v>220100</v>
      </c>
    </row>
    <row r="7" spans="1:9" ht="15.75">
      <c r="A7" s="126"/>
      <c r="B7" s="127"/>
      <c r="C7" s="128" t="s">
        <v>170</v>
      </c>
      <c r="D7" s="125">
        <f>D5+D6</f>
        <v>319410</v>
      </c>
      <c r="F7" s="126"/>
      <c r="G7" s="127"/>
      <c r="H7" s="128" t="s">
        <v>170</v>
      </c>
      <c r="I7" s="125">
        <f>I5+I6</f>
        <v>276100</v>
      </c>
    </row>
    <row r="8" spans="1:9" ht="15.75">
      <c r="A8" s="238" t="s">
        <v>27</v>
      </c>
      <c r="B8" s="208"/>
      <c r="C8" s="208"/>
      <c r="D8" s="239"/>
      <c r="F8" s="238" t="s">
        <v>27</v>
      </c>
      <c r="G8" s="208"/>
      <c r="H8" s="208"/>
      <c r="I8" s="239"/>
    </row>
    <row r="9" spans="1:9">
      <c r="A9" s="79" t="s">
        <v>11</v>
      </c>
      <c r="B9" s="3" t="s">
        <v>16</v>
      </c>
      <c r="C9" s="22" t="s">
        <v>18</v>
      </c>
      <c r="D9" s="80" t="s">
        <v>14</v>
      </c>
      <c r="F9" s="79" t="s">
        <v>11</v>
      </c>
      <c r="G9" s="3" t="s">
        <v>16</v>
      </c>
      <c r="H9" s="22" t="s">
        <v>18</v>
      </c>
      <c r="I9" s="80" t="s">
        <v>14</v>
      </c>
    </row>
    <row r="10" spans="1:9" ht="15.75">
      <c r="A10" s="129">
        <v>44548</v>
      </c>
      <c r="B10" s="130" t="s">
        <v>171</v>
      </c>
      <c r="C10" s="102">
        <v>200000</v>
      </c>
      <c r="D10" s="125">
        <f>Tabla2314111416182356444695[[#Totals],[SUB TOTAL]]-Tabla33210131517192557454796[[#This Row],[CANTIDAD]]</f>
        <v>119410</v>
      </c>
      <c r="F10" s="129"/>
      <c r="G10" s="130"/>
      <c r="H10" s="102"/>
      <c r="I10" s="125">
        <f>Tabla231411141618235644469575[[#Totals],[SUB TOTAL]]-Tabla3321013151719255745479676[[#This Row],[CANTIDAD]]</f>
        <v>276100</v>
      </c>
    </row>
    <row r="11" spans="1:9" ht="15.75">
      <c r="A11" s="129"/>
      <c r="B11" s="130"/>
      <c r="C11" s="102"/>
      <c r="D11" s="125">
        <f>D10-Tabla33210131517192557454796[[#This Row],[CANTIDAD]]</f>
        <v>119410</v>
      </c>
      <c r="F11" s="129"/>
      <c r="G11" s="130"/>
      <c r="H11" s="102"/>
      <c r="I11" s="125">
        <f>I10-Tabla3321013151719255745479676[[#This Row],[CANTIDAD]]</f>
        <v>276100</v>
      </c>
    </row>
    <row r="12" spans="1:9" ht="15.75">
      <c r="A12" s="131"/>
      <c r="B12" s="132" t="s">
        <v>172</v>
      </c>
      <c r="C12" s="133" t="s">
        <v>173</v>
      </c>
      <c r="D12" s="134">
        <f>D11</f>
        <v>119410</v>
      </c>
      <c r="F12" s="131"/>
      <c r="G12" s="132" t="s">
        <v>172</v>
      </c>
      <c r="H12" s="133" t="s">
        <v>173</v>
      </c>
      <c r="I12" s="134">
        <f>I11</f>
        <v>276100</v>
      </c>
    </row>
    <row r="14" spans="1:9" ht="15" customHeight="1">
      <c r="A14" s="233" t="s">
        <v>167</v>
      </c>
      <c r="B14" s="234"/>
      <c r="C14" s="234"/>
      <c r="D14" s="235"/>
      <c r="F14" s="233" t="s">
        <v>167</v>
      </c>
      <c r="G14" s="234"/>
      <c r="H14" s="234"/>
      <c r="I14" s="235"/>
    </row>
    <row r="15" spans="1:9" ht="15" customHeight="1">
      <c r="A15" s="236"/>
      <c r="B15" s="207"/>
      <c r="C15" s="207"/>
      <c r="D15" s="237"/>
      <c r="F15" s="236"/>
      <c r="G15" s="207"/>
      <c r="H15" s="207"/>
      <c r="I15" s="237"/>
    </row>
    <row r="16" spans="1:9" ht="18">
      <c r="A16" s="77" t="s">
        <v>10</v>
      </c>
      <c r="B16" s="142" t="s">
        <v>123</v>
      </c>
      <c r="C16" s="47" t="s">
        <v>9</v>
      </c>
      <c r="D16" s="78">
        <f ca="1">TODAY()</f>
        <v>44716</v>
      </c>
      <c r="F16" s="77" t="s">
        <v>10</v>
      </c>
      <c r="G16" s="142" t="s">
        <v>174</v>
      </c>
      <c r="H16" s="47" t="s">
        <v>9</v>
      </c>
      <c r="I16" s="78">
        <f ca="1">TODAY()</f>
        <v>44716</v>
      </c>
    </row>
    <row r="17" spans="1:9">
      <c r="A17" s="79" t="s">
        <v>16</v>
      </c>
      <c r="B17" s="124" t="s">
        <v>17</v>
      </c>
      <c r="C17" s="22" t="s">
        <v>18</v>
      </c>
      <c r="D17" s="80" t="s">
        <v>19</v>
      </c>
      <c r="F17" s="79" t="s">
        <v>16</v>
      </c>
      <c r="G17" s="124" t="s">
        <v>17</v>
      </c>
      <c r="H17" s="22" t="s">
        <v>18</v>
      </c>
      <c r="I17" s="80" t="s">
        <v>19</v>
      </c>
    </row>
    <row r="18" spans="1:9" ht="15.75">
      <c r="A18" s="205"/>
      <c r="B18" s="102"/>
      <c r="C18" s="122"/>
      <c r="D18" s="125">
        <f>Tabla2314111416182356444695102[[#This Row],[VALOR]]*Tabla2314111416182356444695102[[#This Row],[CANTIDAD]]</f>
        <v>0</v>
      </c>
      <c r="F18" s="205" t="s">
        <v>168</v>
      </c>
      <c r="G18" s="102">
        <v>31500</v>
      </c>
      <c r="H18" s="122">
        <v>14</v>
      </c>
      <c r="I18" s="125">
        <f>Tabla231411141618235644469575104[[#This Row],[VALOR]]*Tabla231411141618235644469575104[[#This Row],[CANTIDAD]]</f>
        <v>441000</v>
      </c>
    </row>
    <row r="19" spans="1:9" ht="15.75">
      <c r="A19" s="205" t="s">
        <v>169</v>
      </c>
      <c r="B19" s="102">
        <v>115000</v>
      </c>
      <c r="C19" s="103">
        <v>1</v>
      </c>
      <c r="D19" s="125">
        <f>Tabla2314111416182356444695102[[#This Row],[VALOR]]*Tabla2314111416182356444695102[[#This Row],[CANTIDAD]]</f>
        <v>115000</v>
      </c>
      <c r="F19" s="205" t="s">
        <v>169</v>
      </c>
      <c r="G19" s="102">
        <v>525000</v>
      </c>
      <c r="H19" s="103">
        <v>1</v>
      </c>
      <c r="I19" s="125">
        <f>Tabla231411141618235644469575104[[#This Row],[VALOR]]*Tabla231411141618235644469575104[[#This Row],[CANTIDAD]]</f>
        <v>525000</v>
      </c>
    </row>
    <row r="20" spans="1:9" ht="15.75">
      <c r="A20" s="126"/>
      <c r="B20" s="127"/>
      <c r="C20" s="128" t="s">
        <v>175</v>
      </c>
      <c r="D20" s="125">
        <f>D18+D19</f>
        <v>115000</v>
      </c>
      <c r="F20" s="126"/>
      <c r="G20" s="127"/>
      <c r="H20" s="128" t="s">
        <v>170</v>
      </c>
      <c r="I20" s="125">
        <f>I18+I19</f>
        <v>966000</v>
      </c>
    </row>
    <row r="21" spans="1:9" ht="15.75">
      <c r="A21" s="238" t="s">
        <v>27</v>
      </c>
      <c r="B21" s="208"/>
      <c r="C21" s="208"/>
      <c r="D21" s="239"/>
      <c r="F21" s="238" t="s">
        <v>27</v>
      </c>
      <c r="G21" s="208"/>
      <c r="H21" s="208"/>
      <c r="I21" s="239"/>
    </row>
    <row r="22" spans="1:9">
      <c r="A22" s="79" t="s">
        <v>11</v>
      </c>
      <c r="B22" s="3" t="s">
        <v>16</v>
      </c>
      <c r="C22" s="22" t="s">
        <v>18</v>
      </c>
      <c r="D22" s="80" t="s">
        <v>14</v>
      </c>
      <c r="F22" s="79" t="s">
        <v>11</v>
      </c>
      <c r="G22" s="3" t="s">
        <v>16</v>
      </c>
      <c r="H22" s="22" t="s">
        <v>18</v>
      </c>
      <c r="I22" s="80" t="s">
        <v>14</v>
      </c>
    </row>
    <row r="23" spans="1:9" ht="15.75">
      <c r="A23" s="129"/>
      <c r="B23" s="130"/>
      <c r="C23" s="102"/>
      <c r="D23" s="125">
        <f>Tabla2314111416182356444695102[[#Totals],[SUB TOTAL]]-Tabla33210131517192557454796103[[#This Row],[CANTIDAD]]</f>
        <v>115000</v>
      </c>
      <c r="F23" s="129"/>
      <c r="G23" s="130"/>
      <c r="H23" s="102"/>
      <c r="I23" s="125">
        <f>Tabla231411141618235644469575104[[#Totals],[SUB TOTAL]]-Tabla3321013151719255745479676105[[#This Row],[CANTIDAD]]</f>
        <v>966000</v>
      </c>
    </row>
    <row r="24" spans="1:9" ht="15.75">
      <c r="A24" s="129"/>
      <c r="B24" s="130"/>
      <c r="C24" s="102"/>
      <c r="D24" s="125">
        <f>D23-Tabla33210131517192557454796103[[#This Row],[CANTIDAD]]</f>
        <v>115000</v>
      </c>
      <c r="F24" s="129"/>
      <c r="G24" s="130"/>
      <c r="H24" s="102"/>
      <c r="I24" s="125">
        <f>I23-Tabla3321013151719255745479676105[[#This Row],[CANTIDAD]]</f>
        <v>966000</v>
      </c>
    </row>
    <row r="25" spans="1:9" ht="15.75">
      <c r="A25" s="131"/>
      <c r="B25" s="132" t="s">
        <v>172</v>
      </c>
      <c r="C25" s="133" t="s">
        <v>173</v>
      </c>
      <c r="D25" s="134">
        <f>D24</f>
        <v>115000</v>
      </c>
      <c r="F25" s="131"/>
      <c r="G25" s="132" t="s">
        <v>172</v>
      </c>
      <c r="H25" s="133" t="s">
        <v>173</v>
      </c>
      <c r="I25" s="134">
        <f>I24</f>
        <v>966000</v>
      </c>
    </row>
    <row r="26" spans="1:9" ht="14.25" customHeight="1"/>
    <row r="27" spans="1:9" ht="15" customHeight="1">
      <c r="A27" s="233" t="s">
        <v>167</v>
      </c>
      <c r="B27" s="234"/>
      <c r="C27" s="234"/>
      <c r="D27" s="235"/>
      <c r="F27" s="233" t="s">
        <v>167</v>
      </c>
      <c r="G27" s="234"/>
      <c r="H27" s="234"/>
      <c r="I27" s="235"/>
    </row>
    <row r="28" spans="1:9" ht="15" customHeight="1">
      <c r="A28" s="236"/>
      <c r="B28" s="207"/>
      <c r="C28" s="207"/>
      <c r="D28" s="237"/>
      <c r="F28" s="236"/>
      <c r="G28" s="207"/>
      <c r="H28" s="207"/>
      <c r="I28" s="237"/>
    </row>
    <row r="29" spans="1:9" ht="18">
      <c r="A29" s="77" t="s">
        <v>10</v>
      </c>
      <c r="B29" s="142" t="s">
        <v>176</v>
      </c>
      <c r="C29" s="47" t="s">
        <v>9</v>
      </c>
      <c r="D29" s="78">
        <f ca="1">TODAY()</f>
        <v>44716</v>
      </c>
      <c r="F29" s="77" t="s">
        <v>10</v>
      </c>
      <c r="G29" s="135" t="s">
        <v>76</v>
      </c>
      <c r="H29" s="47" t="s">
        <v>9</v>
      </c>
      <c r="I29" s="78">
        <f ca="1">TODAY()</f>
        <v>44716</v>
      </c>
    </row>
    <row r="30" spans="1:9">
      <c r="A30" s="79" t="s">
        <v>16</v>
      </c>
      <c r="B30" s="124" t="s">
        <v>17</v>
      </c>
      <c r="C30" s="22" t="s">
        <v>18</v>
      </c>
      <c r="D30" s="80" t="s">
        <v>19</v>
      </c>
      <c r="F30" s="79" t="s">
        <v>16</v>
      </c>
      <c r="G30" s="124" t="s">
        <v>17</v>
      </c>
      <c r="H30" s="22" t="s">
        <v>18</v>
      </c>
      <c r="I30" s="80" t="s">
        <v>19</v>
      </c>
    </row>
    <row r="31" spans="1:9" ht="15.75">
      <c r="A31" s="205" t="s">
        <v>168</v>
      </c>
      <c r="B31" s="102">
        <v>31500</v>
      </c>
      <c r="C31" s="122">
        <v>14</v>
      </c>
      <c r="D31" s="125">
        <f>Tabla231411141618235644469510279[[#This Row],[VALOR]]*Tabla231411141618235644469510279[[#This Row],[CANTIDAD]]</f>
        <v>441000</v>
      </c>
      <c r="F31" s="205" t="s">
        <v>168</v>
      </c>
      <c r="G31" s="102">
        <v>36000</v>
      </c>
      <c r="H31" s="122">
        <v>14</v>
      </c>
      <c r="I31" s="125">
        <f>Tabla23141114161823564446957510481[[#This Row],[VALOR]]*Tabla23141114161823564446957510481[[#This Row],[CANTIDAD]]</f>
        <v>504000</v>
      </c>
    </row>
    <row r="32" spans="1:9" ht="15.75">
      <c r="A32" s="205" t="s">
        <v>169</v>
      </c>
      <c r="B32" s="102">
        <v>400000</v>
      </c>
      <c r="C32" s="103">
        <v>1</v>
      </c>
      <c r="D32" s="125">
        <f>Tabla231411141618235644469510279[[#This Row],[VALOR]]*Tabla231411141618235644469510279[[#This Row],[CANTIDAD]]</f>
        <v>400000</v>
      </c>
      <c r="F32" s="205" t="s">
        <v>169</v>
      </c>
      <c r="G32" s="102">
        <v>540000</v>
      </c>
      <c r="H32" s="103">
        <v>1</v>
      </c>
      <c r="I32" s="125">
        <f>Tabla23141114161823564446957510481[[#This Row],[VALOR]]*Tabla23141114161823564446957510481[[#This Row],[CANTIDAD]]</f>
        <v>540000</v>
      </c>
    </row>
    <row r="33" spans="1:9" ht="15.75">
      <c r="A33" s="126"/>
      <c r="B33" s="127"/>
      <c r="C33" s="128" t="s">
        <v>170</v>
      </c>
      <c r="D33" s="125">
        <f>D31+D32</f>
        <v>841000</v>
      </c>
      <c r="F33" s="126"/>
      <c r="G33" s="127"/>
      <c r="H33" s="128" t="s">
        <v>170</v>
      </c>
      <c r="I33" s="125">
        <f>I31+I32</f>
        <v>1044000</v>
      </c>
    </row>
    <row r="34" spans="1:9" ht="15.75">
      <c r="A34" s="238" t="s">
        <v>27</v>
      </c>
      <c r="B34" s="208"/>
      <c r="C34" s="208"/>
      <c r="D34" s="239"/>
      <c r="F34" s="238" t="s">
        <v>27</v>
      </c>
      <c r="G34" s="208"/>
      <c r="H34" s="208"/>
      <c r="I34" s="239"/>
    </row>
    <row r="35" spans="1:9">
      <c r="A35" s="79" t="s">
        <v>11</v>
      </c>
      <c r="B35" s="3" t="s">
        <v>16</v>
      </c>
      <c r="C35" s="22" t="s">
        <v>18</v>
      </c>
      <c r="D35" s="80" t="s">
        <v>14</v>
      </c>
      <c r="F35" s="79" t="s">
        <v>11</v>
      </c>
      <c r="G35" s="3" t="s">
        <v>16</v>
      </c>
      <c r="H35" s="22" t="s">
        <v>18</v>
      </c>
      <c r="I35" s="80" t="s">
        <v>14</v>
      </c>
    </row>
    <row r="36" spans="1:9" ht="15.75">
      <c r="A36" s="129"/>
      <c r="B36" s="130"/>
      <c r="C36" s="102"/>
      <c r="D36" s="125">
        <f>Tabla231411141618235644469510279[[#Totals],[SUB TOTAL]]-Tabla3321013151719255745479610380[[#This Row],[CANTIDAD]]</f>
        <v>841000</v>
      </c>
      <c r="F36" s="129"/>
      <c r="G36" s="130"/>
      <c r="H36" s="102"/>
      <c r="I36" s="125">
        <f>Tabla23141114161823564446957510481[[#Totals],[SUB TOTAL]]-Tabla332101315171925574547967610582[[#This Row],[CANTIDAD]]</f>
        <v>1044000</v>
      </c>
    </row>
    <row r="37" spans="1:9" ht="15.75">
      <c r="A37" s="129"/>
      <c r="B37" s="130"/>
      <c r="C37" s="102"/>
      <c r="D37" s="125">
        <f>D36-Tabla3321013151719255745479610380[[#This Row],[CANTIDAD]]</f>
        <v>841000</v>
      </c>
      <c r="F37" s="129"/>
      <c r="G37" s="130"/>
      <c r="H37" s="102"/>
      <c r="I37" s="125">
        <f>I36-Tabla332101315171925574547967610582[[#This Row],[CANTIDAD]]</f>
        <v>1044000</v>
      </c>
    </row>
    <row r="38" spans="1:9" ht="15.75">
      <c r="A38" s="131"/>
      <c r="B38" s="132" t="s">
        <v>172</v>
      </c>
      <c r="C38" s="133" t="s">
        <v>173</v>
      </c>
      <c r="D38" s="134">
        <f>D37</f>
        <v>841000</v>
      </c>
      <c r="F38" s="131"/>
      <c r="G38" s="132" t="s">
        <v>172</v>
      </c>
      <c r="H38" s="133" t="s">
        <v>173</v>
      </c>
      <c r="I38" s="134">
        <f>I37</f>
        <v>1044000</v>
      </c>
    </row>
    <row r="39" spans="1:9" ht="231.75" customHeight="1"/>
    <row r="40" spans="1:9" ht="15" customHeight="1">
      <c r="A40" s="233" t="s">
        <v>167</v>
      </c>
      <c r="B40" s="234"/>
      <c r="C40" s="234"/>
      <c r="D40" s="235"/>
      <c r="F40" s="233" t="s">
        <v>167</v>
      </c>
      <c r="G40" s="234"/>
      <c r="H40" s="234"/>
      <c r="I40" s="235"/>
    </row>
    <row r="41" spans="1:9" ht="15" customHeight="1">
      <c r="A41" s="236"/>
      <c r="B41" s="207"/>
      <c r="C41" s="207"/>
      <c r="D41" s="237"/>
      <c r="F41" s="236"/>
      <c r="G41" s="207"/>
      <c r="H41" s="207"/>
      <c r="I41" s="237"/>
    </row>
    <row r="42" spans="1:9" ht="18">
      <c r="A42" s="77" t="s">
        <v>10</v>
      </c>
      <c r="B42" s="142" t="s">
        <v>177</v>
      </c>
      <c r="C42" s="47" t="s">
        <v>9</v>
      </c>
      <c r="D42" s="78">
        <f ca="1">TODAY()</f>
        <v>44716</v>
      </c>
      <c r="F42" s="77" t="s">
        <v>10</v>
      </c>
      <c r="G42" s="142" t="s">
        <v>68</v>
      </c>
      <c r="H42" s="47" t="s">
        <v>9</v>
      </c>
      <c r="I42" s="78">
        <f ca="1">TODAY()</f>
        <v>44716</v>
      </c>
    </row>
    <row r="43" spans="1:9">
      <c r="A43" s="79" t="s">
        <v>16</v>
      </c>
      <c r="B43" s="124" t="s">
        <v>17</v>
      </c>
      <c r="C43" s="22" t="s">
        <v>18</v>
      </c>
      <c r="D43" s="80" t="s">
        <v>19</v>
      </c>
      <c r="F43" s="79" t="s">
        <v>16</v>
      </c>
      <c r="G43" s="124" t="s">
        <v>17</v>
      </c>
      <c r="H43" s="22" t="s">
        <v>18</v>
      </c>
      <c r="I43" s="80" t="s">
        <v>19</v>
      </c>
    </row>
    <row r="44" spans="1:9" ht="15.75">
      <c r="A44" s="205" t="s">
        <v>168</v>
      </c>
      <c r="B44" s="102">
        <v>33300</v>
      </c>
      <c r="C44" s="122">
        <v>1</v>
      </c>
      <c r="D44" s="125">
        <f>Tabla231411141618235644469510285[[#This Row],[VALOR]]*Tabla231411141618235644469510285[[#This Row],[CANTIDAD]]</f>
        <v>33300</v>
      </c>
      <c r="F44" s="205" t="s">
        <v>168</v>
      </c>
      <c r="G44" s="102">
        <v>36000</v>
      </c>
      <c r="H44" s="122">
        <v>14</v>
      </c>
      <c r="I44" s="125">
        <f>Tabla23141114161823564446951028578[[#This Row],[VALOR]]*Tabla23141114161823564446951028578[[#This Row],[CANTIDAD]]</f>
        <v>504000</v>
      </c>
    </row>
    <row r="45" spans="1:9" ht="15.75">
      <c r="A45" s="205" t="s">
        <v>169</v>
      </c>
      <c r="B45" s="102">
        <v>140000</v>
      </c>
      <c r="C45" s="103">
        <v>1</v>
      </c>
      <c r="D45" s="125">
        <f>Tabla231411141618235644469510285[[#This Row],[VALOR]]*Tabla231411141618235644469510285[[#This Row],[CANTIDAD]]</f>
        <v>140000</v>
      </c>
      <c r="F45" s="205" t="s">
        <v>169</v>
      </c>
      <c r="G45" s="102">
        <v>610000</v>
      </c>
      <c r="H45" s="103">
        <v>1</v>
      </c>
      <c r="I45" s="125">
        <f>Tabla23141114161823564446951028578[[#This Row],[VALOR]]*Tabla23141114161823564446951028578[[#This Row],[CANTIDAD]]</f>
        <v>610000</v>
      </c>
    </row>
    <row r="46" spans="1:9" ht="15.75">
      <c r="A46" s="126"/>
      <c r="B46" s="127"/>
      <c r="C46" s="128" t="s">
        <v>170</v>
      </c>
      <c r="D46" s="125">
        <f>D44+D45</f>
        <v>173300</v>
      </c>
      <c r="F46" s="126"/>
      <c r="G46" s="127"/>
      <c r="H46" s="128" t="s">
        <v>170</v>
      </c>
      <c r="I46" s="125">
        <f>I44+I45</f>
        <v>1114000</v>
      </c>
    </row>
    <row r="47" spans="1:9" ht="15.75">
      <c r="A47" s="238" t="s">
        <v>27</v>
      </c>
      <c r="B47" s="208"/>
      <c r="C47" s="208"/>
      <c r="D47" s="239"/>
      <c r="F47" s="238" t="s">
        <v>27</v>
      </c>
      <c r="G47" s="208"/>
      <c r="H47" s="208"/>
      <c r="I47" s="239"/>
    </row>
    <row r="48" spans="1:9">
      <c r="A48" s="79" t="s">
        <v>11</v>
      </c>
      <c r="B48" s="3" t="s">
        <v>16</v>
      </c>
      <c r="C48" s="22" t="s">
        <v>18</v>
      </c>
      <c r="D48" s="80" t="s">
        <v>14</v>
      </c>
      <c r="F48" s="79" t="s">
        <v>11</v>
      </c>
      <c r="G48" s="3" t="s">
        <v>16</v>
      </c>
      <c r="H48" s="22" t="s">
        <v>18</v>
      </c>
      <c r="I48" s="80" t="s">
        <v>14</v>
      </c>
    </row>
    <row r="49" spans="1:12" ht="15.75">
      <c r="A49" s="129"/>
      <c r="B49" s="130"/>
      <c r="C49" s="102">
        <v>0</v>
      </c>
      <c r="D49" s="125">
        <f>Tabla231411141618235644469510285[[#Totals],[SUB TOTAL]]-Tabla3321013151719255745479610386[[#This Row],[CANTIDAD]]</f>
        <v>173300</v>
      </c>
      <c r="F49" s="129"/>
      <c r="G49" s="130"/>
      <c r="H49" s="102">
        <v>0</v>
      </c>
      <c r="I49" s="125">
        <f>Tabla23141114161823564446951028578[[#Totals],[SUB TOTAL]]</f>
        <v>1114000</v>
      </c>
    </row>
    <row r="50" spans="1:12" ht="15.75">
      <c r="A50" s="129"/>
      <c r="B50" s="130"/>
      <c r="C50" s="102"/>
      <c r="D50" s="125">
        <f>D49-Tabla3321013151719255745479610386[[#This Row],[CANTIDAD]]</f>
        <v>173300</v>
      </c>
      <c r="F50" s="129"/>
      <c r="G50" s="130"/>
      <c r="H50" s="102"/>
      <c r="I50" s="125">
        <f>I49-Tabla332101315171925574547961038644[[#This Row],[CANTIDAD]]</f>
        <v>1114000</v>
      </c>
    </row>
    <row r="51" spans="1:12" ht="15.75">
      <c r="A51" s="129"/>
      <c r="B51" s="140" t="s">
        <v>172</v>
      </c>
      <c r="C51" s="102" t="s">
        <v>173</v>
      </c>
      <c r="D51" s="125">
        <f>D50</f>
        <v>173300</v>
      </c>
      <c r="F51" s="129"/>
      <c r="G51" s="140" t="s">
        <v>172</v>
      </c>
      <c r="H51" s="102" t="s">
        <v>173</v>
      </c>
      <c r="I51" s="125">
        <f>I50</f>
        <v>1114000</v>
      </c>
    </row>
    <row r="52" spans="1:12" ht="8.25" customHeight="1">
      <c r="A52" s="139"/>
      <c r="B52" s="140"/>
      <c r="C52" s="102"/>
      <c r="D52" s="141"/>
      <c r="E52" s="124"/>
      <c r="F52" s="139"/>
      <c r="G52" s="140"/>
      <c r="H52" s="102"/>
      <c r="I52" s="141"/>
      <c r="J52" s="124"/>
      <c r="K52" s="124"/>
      <c r="L52" s="124"/>
    </row>
    <row r="53" spans="1:12" ht="15" customHeight="1">
      <c r="A53" s="233" t="s">
        <v>167</v>
      </c>
      <c r="B53" s="234"/>
      <c r="C53" s="234"/>
      <c r="D53" s="235"/>
      <c r="F53" s="233" t="s">
        <v>167</v>
      </c>
      <c r="G53" s="234"/>
      <c r="H53" s="234"/>
      <c r="I53" s="235"/>
    </row>
    <row r="54" spans="1:12" ht="15" customHeight="1">
      <c r="A54" s="236"/>
      <c r="B54" s="207"/>
      <c r="C54" s="207"/>
      <c r="D54" s="237"/>
      <c r="F54" s="236"/>
      <c r="G54" s="207"/>
      <c r="H54" s="207"/>
      <c r="I54" s="237"/>
    </row>
    <row r="55" spans="1:12" ht="15" customHeight="1">
      <c r="A55" s="77" t="s">
        <v>10</v>
      </c>
      <c r="B55" s="142" t="s">
        <v>178</v>
      </c>
      <c r="C55" s="47" t="s">
        <v>9</v>
      </c>
      <c r="D55" s="78">
        <f ca="1">TODAY()</f>
        <v>44716</v>
      </c>
      <c r="F55" s="77" t="s">
        <v>10</v>
      </c>
      <c r="G55" s="142" t="s">
        <v>179</v>
      </c>
      <c r="H55" s="47" t="s">
        <v>9</v>
      </c>
      <c r="I55" s="78">
        <f ca="1">TODAY()</f>
        <v>44716</v>
      </c>
    </row>
    <row r="56" spans="1:12">
      <c r="A56" s="79" t="s">
        <v>16</v>
      </c>
      <c r="B56" s="124" t="s">
        <v>17</v>
      </c>
      <c r="C56" s="22" t="s">
        <v>18</v>
      </c>
      <c r="D56" s="80" t="s">
        <v>19</v>
      </c>
      <c r="F56" s="79" t="s">
        <v>16</v>
      </c>
      <c r="G56" s="124" t="s">
        <v>17</v>
      </c>
      <c r="H56" s="22" t="s">
        <v>18</v>
      </c>
      <c r="I56" s="80" t="s">
        <v>19</v>
      </c>
    </row>
    <row r="57" spans="1:12" ht="15.75">
      <c r="A57" s="205" t="s">
        <v>168</v>
      </c>
      <c r="B57" s="102">
        <v>16000</v>
      </c>
      <c r="C57" s="122">
        <v>14</v>
      </c>
      <c r="D57" s="125">
        <f>Tabla231411141618235644469577106896163[[#This Row],[VALOR]]*Tabla231411141618235644469577106896163[[#This Row],[CANTIDAD]]</f>
        <v>224000</v>
      </c>
      <c r="F57" s="205" t="s">
        <v>168</v>
      </c>
      <c r="G57" s="102">
        <v>40000</v>
      </c>
      <c r="H57" s="122">
        <v>14</v>
      </c>
      <c r="I57" s="125">
        <f>Tabla2314111416182356444695751048773[[#This Row],[VALOR]]*Tabla2314111416182356444695751048773[[#This Row],[CANTIDAD]]</f>
        <v>560000</v>
      </c>
    </row>
    <row r="58" spans="1:12" ht="15.75">
      <c r="A58" s="205" t="s">
        <v>169</v>
      </c>
      <c r="B58" s="102">
        <v>200000</v>
      </c>
      <c r="C58" s="103">
        <v>1</v>
      </c>
      <c r="D58" s="125">
        <f>Tabla231411141618235644469577106896163[[#This Row],[VALOR]]*Tabla231411141618235644469577106896163[[#This Row],[CANTIDAD]]</f>
        <v>200000</v>
      </c>
      <c r="F58" s="205" t="s">
        <v>169</v>
      </c>
      <c r="G58" s="102">
        <v>500000</v>
      </c>
      <c r="H58" s="103">
        <v>1</v>
      </c>
      <c r="I58" s="125">
        <f>Tabla2314111416182356444695751048773[[#This Row],[VALOR]]*Tabla2314111416182356444695751048773[[#This Row],[CANTIDAD]]</f>
        <v>500000</v>
      </c>
    </row>
    <row r="59" spans="1:12" ht="15.75">
      <c r="A59" s="136"/>
      <c r="B59" s="137"/>
      <c r="C59" s="103"/>
      <c r="D59" s="138">
        <f>Tabla231411141618235644469577106896163[[#This Row],[VALOR]]*Tabla231411141618235644469577106896163[[#This Row],[CANTIDAD]]</f>
        <v>0</v>
      </c>
      <c r="F59" s="136"/>
      <c r="G59" s="137"/>
      <c r="H59" s="103"/>
      <c r="I59" s="138">
        <f>Tabla2314111416182356444695751048773[[#This Row],[VALOR]]*Tabla2314111416182356444695751048773[[#This Row],[CANTIDAD]]</f>
        <v>0</v>
      </c>
    </row>
    <row r="60" spans="1:12" ht="15.75">
      <c r="A60" s="126"/>
      <c r="B60" s="127"/>
      <c r="C60" s="128" t="s">
        <v>170</v>
      </c>
      <c r="D60" s="125">
        <f>D57+D58+D59</f>
        <v>424000</v>
      </c>
      <c r="F60" s="126"/>
      <c r="G60" s="127"/>
      <c r="H60" s="128" t="s">
        <v>170</v>
      </c>
      <c r="I60" s="125">
        <f>I57+I58+I59</f>
        <v>1060000</v>
      </c>
    </row>
    <row r="61" spans="1:12" ht="15.75">
      <c r="A61" s="238" t="s">
        <v>27</v>
      </c>
      <c r="B61" s="208"/>
      <c r="C61" s="208"/>
      <c r="D61" s="239"/>
      <c r="F61" s="238" t="s">
        <v>27</v>
      </c>
      <c r="G61" s="208"/>
      <c r="H61" s="208"/>
      <c r="I61" s="239"/>
    </row>
    <row r="62" spans="1:12">
      <c r="A62" s="79" t="s">
        <v>11</v>
      </c>
      <c r="B62" s="3" t="s">
        <v>16</v>
      </c>
      <c r="C62" s="22" t="s">
        <v>18</v>
      </c>
      <c r="D62" s="80" t="s">
        <v>14</v>
      </c>
      <c r="F62" s="79" t="s">
        <v>11</v>
      </c>
      <c r="G62" s="3" t="s">
        <v>16</v>
      </c>
      <c r="H62" s="22" t="s">
        <v>18</v>
      </c>
      <c r="I62" s="80" t="s">
        <v>14</v>
      </c>
    </row>
    <row r="63" spans="1:12" ht="15.75">
      <c r="A63" s="129"/>
      <c r="B63" s="130"/>
      <c r="C63" s="102"/>
      <c r="D63" s="125">
        <f>Tabla231411141618235644469577106896163[[#Totals],[SUB TOTAL]]-Tabla3321013151719255745479678107906264[[#This Row],[CANTIDAD]]</f>
        <v>424000</v>
      </c>
      <c r="F63" s="129"/>
      <c r="G63" s="130"/>
      <c r="H63" s="102"/>
      <c r="I63" s="125">
        <f>Tabla2314111416182356444695751048773[[#Totals],[SUB TOTAL]]-Tabla33210131517192557454796761058874[[#This Row],[CANTIDAD]]</f>
        <v>1060000</v>
      </c>
    </row>
    <row r="64" spans="1:12" ht="15.75">
      <c r="A64" s="129"/>
      <c r="B64" s="130"/>
      <c r="C64" s="102"/>
      <c r="D64" s="125">
        <f>D63-Tabla3321013151719255745479678107906264[[#This Row],[CANTIDAD]]</f>
        <v>424000</v>
      </c>
      <c r="F64" s="129"/>
      <c r="G64" s="130"/>
      <c r="H64" s="102"/>
      <c r="I64" s="125">
        <f>I63-Tabla33210131517192557454796761058874[[#This Row],[CANTIDAD]]</f>
        <v>1060000</v>
      </c>
    </row>
    <row r="65" spans="1:9" ht="15.75">
      <c r="A65" s="131"/>
      <c r="B65" s="132" t="s">
        <v>172</v>
      </c>
      <c r="C65" s="133" t="s">
        <v>173</v>
      </c>
      <c r="D65" s="134">
        <f>D64</f>
        <v>424000</v>
      </c>
      <c r="F65" s="131"/>
      <c r="G65" s="132" t="s">
        <v>172</v>
      </c>
      <c r="H65" s="133" t="s">
        <v>173</v>
      </c>
      <c r="I65" s="134">
        <f>I64</f>
        <v>1060000</v>
      </c>
    </row>
    <row r="66" spans="1:9" ht="9" customHeight="1"/>
    <row r="67" spans="1:9" ht="15" customHeight="1">
      <c r="A67" s="233" t="s">
        <v>167</v>
      </c>
      <c r="B67" s="240"/>
      <c r="C67" s="240"/>
      <c r="D67" s="241"/>
      <c r="F67" s="233" t="s">
        <v>167</v>
      </c>
      <c r="G67" s="234"/>
      <c r="H67" s="234"/>
      <c r="I67" s="235"/>
    </row>
    <row r="68" spans="1:9" ht="15" customHeight="1">
      <c r="A68" s="242"/>
      <c r="B68" s="243"/>
      <c r="C68" s="243"/>
      <c r="D68" s="244"/>
      <c r="F68" s="236"/>
      <c r="G68" s="207"/>
      <c r="H68" s="207"/>
      <c r="I68" s="237"/>
    </row>
    <row r="69" spans="1:9" ht="18">
      <c r="A69" s="77" t="s">
        <v>10</v>
      </c>
      <c r="B69" s="142" t="s">
        <v>85</v>
      </c>
      <c r="C69" s="47" t="s">
        <v>9</v>
      </c>
      <c r="D69" s="78">
        <f ca="1">TODAY()</f>
        <v>44716</v>
      </c>
      <c r="F69" s="77" t="s">
        <v>10</v>
      </c>
      <c r="G69" s="142" t="s">
        <v>92</v>
      </c>
      <c r="H69" s="47" t="s">
        <v>9</v>
      </c>
      <c r="I69" s="78">
        <f ca="1">TODAY()</f>
        <v>44716</v>
      </c>
    </row>
    <row r="70" spans="1:9">
      <c r="A70" s="79" t="s">
        <v>16</v>
      </c>
      <c r="B70" s="124" t="s">
        <v>17</v>
      </c>
      <c r="C70" s="22" t="s">
        <v>18</v>
      </c>
      <c r="D70" s="80" t="s">
        <v>19</v>
      </c>
      <c r="F70" s="79" t="s">
        <v>16</v>
      </c>
      <c r="G70" s="124" t="s">
        <v>17</v>
      </c>
      <c r="H70" s="22" t="s">
        <v>18</v>
      </c>
      <c r="I70" s="80" t="s">
        <v>19</v>
      </c>
    </row>
    <row r="71" spans="1:9" ht="15.75">
      <c r="A71" s="205" t="s">
        <v>168</v>
      </c>
      <c r="B71" s="102">
        <v>33300</v>
      </c>
      <c r="C71" s="122">
        <v>14</v>
      </c>
      <c r="D71" s="125">
        <f>Tabla23141114161823564446957710656[[#This Row],[VALOR]]*Tabla23141114161823564446957710656[[#This Row],[CANTIDAD]]</f>
        <v>466200</v>
      </c>
      <c r="F71" s="205" t="s">
        <v>168</v>
      </c>
      <c r="G71" s="102">
        <v>31500</v>
      </c>
      <c r="H71" s="122">
        <v>14</v>
      </c>
      <c r="I71" s="125">
        <f>Tabla23141114161823564446957765[[#This Row],[VALOR]]*Tabla23141114161823564446957765[[#This Row],[CANTIDAD]]</f>
        <v>441000</v>
      </c>
    </row>
    <row r="72" spans="1:9" ht="15.75">
      <c r="A72" s="205" t="s">
        <v>169</v>
      </c>
      <c r="B72" s="102">
        <v>440000</v>
      </c>
      <c r="C72" s="103">
        <v>1</v>
      </c>
      <c r="D72" s="125">
        <f>Tabla23141114161823564446957710656[[#This Row],[VALOR]]*Tabla23141114161823564446957710656[[#This Row],[CANTIDAD]]</f>
        <v>440000</v>
      </c>
      <c r="F72" s="205" t="s">
        <v>169</v>
      </c>
      <c r="G72" s="102">
        <v>505000</v>
      </c>
      <c r="H72" s="103">
        <v>1</v>
      </c>
      <c r="I72" s="125">
        <f>Tabla23141114161823564446957765[[#This Row],[VALOR]]*Tabla23141114161823564446957765[[#This Row],[CANTIDAD]]</f>
        <v>505000</v>
      </c>
    </row>
    <row r="73" spans="1:9" ht="15.75">
      <c r="A73" s="126"/>
      <c r="B73" s="127"/>
      <c r="C73" s="128" t="s">
        <v>170</v>
      </c>
      <c r="D73" s="125">
        <f>D71+D72</f>
        <v>906200</v>
      </c>
      <c r="F73" s="126"/>
      <c r="G73" s="127"/>
      <c r="H73" s="128" t="s">
        <v>170</v>
      </c>
      <c r="I73" s="125">
        <f>I71+I72</f>
        <v>946000</v>
      </c>
    </row>
    <row r="74" spans="1:9" ht="15.75">
      <c r="A74" s="238" t="s">
        <v>27</v>
      </c>
      <c r="B74" s="208"/>
      <c r="C74" s="208"/>
      <c r="D74" s="239"/>
      <c r="F74" s="238" t="s">
        <v>27</v>
      </c>
      <c r="G74" s="208"/>
      <c r="H74" s="208"/>
      <c r="I74" s="239"/>
    </row>
    <row r="75" spans="1:9">
      <c r="A75" s="79" t="s">
        <v>11</v>
      </c>
      <c r="B75" s="3" t="s">
        <v>16</v>
      </c>
      <c r="C75" s="22" t="s">
        <v>18</v>
      </c>
      <c r="D75" s="80" t="s">
        <v>14</v>
      </c>
      <c r="F75" s="79" t="s">
        <v>11</v>
      </c>
      <c r="G75" s="3" t="s">
        <v>16</v>
      </c>
      <c r="H75" s="22" t="s">
        <v>18</v>
      </c>
      <c r="I75" s="80" t="s">
        <v>14</v>
      </c>
    </row>
    <row r="76" spans="1:9" ht="15.75">
      <c r="A76" s="129"/>
      <c r="B76" s="130"/>
      <c r="C76" s="102"/>
      <c r="D76" s="125">
        <f>Tabla23141114161823564446957710656[[#Totals],[SUB TOTAL]]-Tabla332101315171925574547967810757[[#This Row],[CANTIDAD]]</f>
        <v>906200</v>
      </c>
      <c r="F76" s="129"/>
      <c r="G76" s="130"/>
      <c r="H76" s="102"/>
      <c r="I76" s="125">
        <f>Tabla23141114161823564446957765[[#Totals],[SUB TOTAL]]</f>
        <v>946000</v>
      </c>
    </row>
    <row r="77" spans="1:9" ht="15.75">
      <c r="A77" s="129"/>
      <c r="B77" s="130"/>
      <c r="C77" s="102"/>
      <c r="D77" s="125">
        <f>Tabla23141114161823564446957710656[[#Totals],[SUB TOTAL]]-Tabla332101315171925574547967810757[[#This Row],[CANTIDAD]]</f>
        <v>906200</v>
      </c>
      <c r="F77" s="129"/>
      <c r="G77" s="130"/>
      <c r="H77" s="102"/>
      <c r="I77" s="125">
        <f>I76</f>
        <v>946000</v>
      </c>
    </row>
    <row r="78" spans="1:9" ht="15.75">
      <c r="A78" s="131"/>
      <c r="B78" s="132" t="s">
        <v>172</v>
      </c>
      <c r="C78" s="133" t="s">
        <v>173</v>
      </c>
      <c r="D78" s="134">
        <f>D76</f>
        <v>906200</v>
      </c>
      <c r="F78" s="131"/>
      <c r="G78" s="132" t="s">
        <v>172</v>
      </c>
      <c r="H78" s="133" t="s">
        <v>173</v>
      </c>
      <c r="I78" s="134">
        <f>I76</f>
        <v>946000</v>
      </c>
    </row>
    <row r="80" spans="1:9">
      <c r="I80" s="26">
        <f>D12+I12+D25+I25+D38+I38+D51+I51+D65+I65+D78+I78+Tabla231411141618235644469577106896163[[#Totals],[SUB TOTAL]]</f>
        <v>8409010</v>
      </c>
    </row>
    <row r="81" spans="8:9">
      <c r="H81" s="143"/>
      <c r="I81" s="26"/>
    </row>
    <row r="82" spans="8:9">
      <c r="H82" s="143"/>
      <c r="I82" s="26">
        <v>3550000</v>
      </c>
    </row>
    <row r="83" spans="8:9">
      <c r="H83" s="143"/>
      <c r="I83" s="170">
        <f>SUM(I80:I82)</f>
        <v>11959010</v>
      </c>
    </row>
    <row r="84" spans="8:9">
      <c r="I84" s="26">
        <v>4800000</v>
      </c>
    </row>
    <row r="86" spans="8:9">
      <c r="I86" s="170">
        <f>SUM(I83:I85)</f>
        <v>16759010</v>
      </c>
    </row>
    <row r="88" spans="8:9">
      <c r="I88" s="26"/>
    </row>
  </sheetData>
  <mergeCells count="24">
    <mergeCell ref="A47:D47"/>
    <mergeCell ref="F47:I47"/>
    <mergeCell ref="A27:D28"/>
    <mergeCell ref="F27:I28"/>
    <mergeCell ref="A34:D34"/>
    <mergeCell ref="F34:I34"/>
    <mergeCell ref="A40:D41"/>
    <mergeCell ref="F40:I41"/>
    <mergeCell ref="A14:D15"/>
    <mergeCell ref="F14:I15"/>
    <mergeCell ref="A21:D21"/>
    <mergeCell ref="F21:I21"/>
    <mergeCell ref="A1:D2"/>
    <mergeCell ref="A8:D8"/>
    <mergeCell ref="F1:I2"/>
    <mergeCell ref="F8:I8"/>
    <mergeCell ref="A53:D54"/>
    <mergeCell ref="F74:I74"/>
    <mergeCell ref="F53:I54"/>
    <mergeCell ref="A61:D61"/>
    <mergeCell ref="A67:D68"/>
    <mergeCell ref="A74:D74"/>
    <mergeCell ref="F61:I61"/>
    <mergeCell ref="F67:I68"/>
  </mergeCells>
  <printOptions horizontalCentered="1" verticalCentered="1"/>
  <pageMargins left="0.25" right="0.25" top="0.75" bottom="0.75" header="0.3" footer="0.3"/>
  <pageSetup fitToHeight="0" orientation="portrait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6AB-0751-426F-8155-7947C8ED544D}">
  <dimension ref="A1:I17"/>
  <sheetViews>
    <sheetView workbookViewId="0">
      <selection activeCell="I15" sqref="I15"/>
    </sheetView>
  </sheetViews>
  <sheetFormatPr defaultRowHeight="15"/>
  <cols>
    <col min="1" max="1" width="21" customWidth="1"/>
    <col min="2" max="2" width="17.5703125" customWidth="1"/>
    <col min="3" max="3" width="13.140625" customWidth="1"/>
    <col min="4" max="4" width="16.85546875" customWidth="1"/>
    <col min="6" max="6" width="16.7109375" customWidth="1"/>
    <col min="7" max="7" width="19.140625" customWidth="1"/>
    <col min="8" max="8" width="17.85546875" customWidth="1"/>
    <col min="9" max="9" width="19.7109375" customWidth="1"/>
  </cols>
  <sheetData>
    <row r="1" spans="1:9">
      <c r="A1" s="233" t="s">
        <v>167</v>
      </c>
      <c r="B1" s="234"/>
      <c r="C1" s="234"/>
      <c r="D1" s="235"/>
      <c r="F1" s="233" t="s">
        <v>167</v>
      </c>
      <c r="G1" s="234"/>
      <c r="H1" s="234"/>
      <c r="I1" s="235"/>
    </row>
    <row r="2" spans="1:9">
      <c r="A2" s="236"/>
      <c r="B2" s="207"/>
      <c r="C2" s="207"/>
      <c r="D2" s="237"/>
      <c r="F2" s="236"/>
      <c r="G2" s="207"/>
      <c r="H2" s="207"/>
      <c r="I2" s="237"/>
    </row>
    <row r="3" spans="1:9" ht="20.25">
      <c r="A3" s="77" t="s">
        <v>10</v>
      </c>
      <c r="B3" s="123" t="s">
        <v>180</v>
      </c>
      <c r="C3" s="47" t="s">
        <v>9</v>
      </c>
      <c r="D3" s="78">
        <f ca="1">TODAY()</f>
        <v>44716</v>
      </c>
      <c r="F3" s="77" t="s">
        <v>10</v>
      </c>
      <c r="G3" s="135" t="s">
        <v>181</v>
      </c>
      <c r="H3" s="47" t="s">
        <v>9</v>
      </c>
      <c r="I3" s="78">
        <f ca="1">TODAY()</f>
        <v>44716</v>
      </c>
    </row>
    <row r="4" spans="1:9">
      <c r="A4" s="79" t="s">
        <v>16</v>
      </c>
      <c r="B4" s="124" t="s">
        <v>17</v>
      </c>
      <c r="C4" s="22" t="s">
        <v>18</v>
      </c>
      <c r="D4" s="80" t="s">
        <v>19</v>
      </c>
      <c r="F4" s="79" t="s">
        <v>16</v>
      </c>
      <c r="G4" s="124" t="s">
        <v>17</v>
      </c>
      <c r="H4" s="22" t="s">
        <v>18</v>
      </c>
      <c r="I4" s="80" t="s">
        <v>19</v>
      </c>
    </row>
    <row r="5" spans="1:9" ht="15.75">
      <c r="A5" s="205" t="s">
        <v>168</v>
      </c>
      <c r="B5" s="102">
        <v>52000</v>
      </c>
      <c r="C5" s="122">
        <v>14</v>
      </c>
      <c r="D5" s="125">
        <v>378000</v>
      </c>
      <c r="F5" s="205" t="s">
        <v>168</v>
      </c>
      <c r="G5" s="102">
        <v>48000</v>
      </c>
      <c r="H5" s="122">
        <v>14</v>
      </c>
      <c r="I5" s="125">
        <f>Tabla2314111416182356444695751048193[[#This Row],[VALOR]]*Tabla2314111416182356444695751048193[[#This Row],[CANTIDAD]]</f>
        <v>672000</v>
      </c>
    </row>
    <row r="6" spans="1:9" ht="15.75">
      <c r="A6" s="205" t="s">
        <v>169</v>
      </c>
      <c r="B6" s="137">
        <v>650000</v>
      </c>
      <c r="C6" s="103">
        <v>1</v>
      </c>
      <c r="D6" s="125">
        <f>Tabla23141114161823564446951027991[[#This Row],[VALOR]]*Tabla23141114161823564446951027991[[#This Row],[CANTIDAD]]</f>
        <v>650000</v>
      </c>
      <c r="F6" s="205" t="s">
        <v>169</v>
      </c>
      <c r="G6" s="102">
        <v>600000</v>
      </c>
      <c r="H6" s="103">
        <v>1</v>
      </c>
      <c r="I6" s="125">
        <f>Tabla2314111416182356444695751048193[[#This Row],[VALOR]]*Tabla2314111416182356444695751048193[[#This Row],[CANTIDAD]]</f>
        <v>600000</v>
      </c>
    </row>
    <row r="7" spans="1:9" ht="15.75">
      <c r="A7" s="205" t="s">
        <v>182</v>
      </c>
      <c r="B7" s="102">
        <v>650000</v>
      </c>
      <c r="C7" s="103">
        <v>1</v>
      </c>
      <c r="D7" s="125">
        <f>Tabla23141114161823564446951027991[[#This Row],[VALOR]]*Tabla23141114161823564446951027991[[#This Row],[CANTIDAD]]</f>
        <v>650000</v>
      </c>
      <c r="F7" s="136" t="s">
        <v>182</v>
      </c>
      <c r="G7" s="137">
        <v>600000</v>
      </c>
      <c r="H7" s="103">
        <v>1</v>
      </c>
      <c r="I7" s="138">
        <f>Tabla2314111416182356444695751048193[[#This Row],[VALOR]]*Tabla2314111416182356444695751048193[[#This Row],[CANTIDAD]]</f>
        <v>600000</v>
      </c>
    </row>
    <row r="8" spans="1:9" ht="15.75">
      <c r="A8" s="126"/>
      <c r="B8" s="127"/>
      <c r="C8" s="128" t="s">
        <v>170</v>
      </c>
      <c r="D8" s="125">
        <f>D5+D6+D7</f>
        <v>1678000</v>
      </c>
      <c r="F8" s="126"/>
      <c r="G8" s="127"/>
      <c r="H8" s="128" t="s">
        <v>170</v>
      </c>
      <c r="I8" s="125">
        <f>I5+I6+I7</f>
        <v>1872000</v>
      </c>
    </row>
    <row r="9" spans="1:9" ht="15.75">
      <c r="A9" s="238" t="s">
        <v>27</v>
      </c>
      <c r="B9" s="208"/>
      <c r="C9" s="208"/>
      <c r="D9" s="239"/>
      <c r="F9" s="238" t="s">
        <v>27</v>
      </c>
      <c r="G9" s="208"/>
      <c r="H9" s="208"/>
      <c r="I9" s="239"/>
    </row>
    <row r="10" spans="1:9">
      <c r="A10" s="79" t="s">
        <v>11</v>
      </c>
      <c r="B10" s="3" t="s">
        <v>16</v>
      </c>
      <c r="C10" s="22" t="s">
        <v>18</v>
      </c>
      <c r="D10" s="80" t="s">
        <v>14</v>
      </c>
      <c r="F10" s="79" t="s">
        <v>11</v>
      </c>
      <c r="G10" s="3" t="s">
        <v>16</v>
      </c>
      <c r="H10" s="22" t="s">
        <v>18</v>
      </c>
      <c r="I10" s="80" t="s">
        <v>14</v>
      </c>
    </row>
    <row r="11" spans="1:9" ht="15.75">
      <c r="A11" s="129"/>
      <c r="B11" s="130"/>
      <c r="C11" s="102"/>
      <c r="D11" s="125">
        <f>Tabla23141114161823564446951027991[[#Totals],[SUB TOTAL]]-Tabla332101315171925574547961038092[[#This Row],[CANTIDAD]]</f>
        <v>1678000</v>
      </c>
      <c r="F11" s="129"/>
      <c r="G11" s="130"/>
      <c r="H11" s="102"/>
      <c r="I11" s="125">
        <f>Tabla2314111416182356444695751048193[[#Totals],[SUB TOTAL]]-Tabla33210131517192557454796761058294[[#This Row],[CANTIDAD]]</f>
        <v>1872000</v>
      </c>
    </row>
    <row r="12" spans="1:9" ht="15.75">
      <c r="A12" s="129"/>
      <c r="B12" s="130"/>
      <c r="C12" s="102"/>
      <c r="D12" s="125">
        <f>D11-Tabla332101315171925574547961038092[[#This Row],[CANTIDAD]]</f>
        <v>1678000</v>
      </c>
      <c r="F12" s="129"/>
      <c r="G12" s="130"/>
      <c r="H12" s="102"/>
      <c r="I12" s="125">
        <f>I11-Tabla33210131517192557454796761058294[[#This Row],[CANTIDAD]]</f>
        <v>1872000</v>
      </c>
    </row>
    <row r="13" spans="1:9" ht="15.75">
      <c r="A13" s="131"/>
      <c r="B13" s="132" t="s">
        <v>172</v>
      </c>
      <c r="C13" s="133" t="s">
        <v>173</v>
      </c>
      <c r="D13" s="134">
        <f>D12</f>
        <v>1678000</v>
      </c>
      <c r="F13" s="131"/>
      <c r="G13" s="132" t="s">
        <v>172</v>
      </c>
      <c r="H13" s="133" t="s">
        <v>173</v>
      </c>
      <c r="I13" s="134">
        <f>I12</f>
        <v>1872000</v>
      </c>
    </row>
    <row r="15" spans="1:9">
      <c r="I15" s="26"/>
    </row>
    <row r="17" spans="4:9">
      <c r="D17" s="26"/>
      <c r="I17" s="26">
        <f>D13+I13</f>
        <v>3550000</v>
      </c>
    </row>
  </sheetData>
  <mergeCells count="4">
    <mergeCell ref="A1:D2"/>
    <mergeCell ref="F1:I2"/>
    <mergeCell ref="A9:D9"/>
    <mergeCell ref="F9:I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1C58-EB20-4839-958B-F3307035941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5E2D-7FD3-49CB-920C-D6E0D90D598E}">
  <dimension ref="A1:D30"/>
  <sheetViews>
    <sheetView topLeftCell="A14" workbookViewId="0">
      <selection activeCell="K21" sqref="K21"/>
    </sheetView>
  </sheetViews>
  <sheetFormatPr defaultRowHeight="15"/>
  <cols>
    <col min="1" max="1" width="18.28515625" customWidth="1"/>
    <col min="2" max="2" width="17.5703125" customWidth="1"/>
    <col min="3" max="3" width="20.140625" customWidth="1"/>
    <col min="4" max="4" width="26" customWidth="1"/>
  </cols>
  <sheetData>
    <row r="1" spans="1:4">
      <c r="A1" s="233" t="s">
        <v>167</v>
      </c>
      <c r="B1" s="234"/>
      <c r="C1" s="234"/>
      <c r="D1" s="235"/>
    </row>
    <row r="2" spans="1:4">
      <c r="A2" s="236"/>
      <c r="B2" s="207"/>
      <c r="C2" s="207"/>
      <c r="D2" s="237"/>
    </row>
    <row r="3" spans="1:4" ht="18">
      <c r="A3" s="77" t="s">
        <v>10</v>
      </c>
      <c r="B3" s="142" t="s">
        <v>42</v>
      </c>
      <c r="C3" s="47" t="s">
        <v>9</v>
      </c>
      <c r="D3" s="78">
        <f ca="1">TODAY()</f>
        <v>44716</v>
      </c>
    </row>
    <row r="4" spans="1:4">
      <c r="A4" s="79" t="s">
        <v>16</v>
      </c>
      <c r="B4" s="124" t="s">
        <v>183</v>
      </c>
      <c r="C4" s="22" t="s">
        <v>18</v>
      </c>
      <c r="D4" s="80" t="s">
        <v>19</v>
      </c>
    </row>
    <row r="5" spans="1:4" ht="15.75">
      <c r="A5" s="205" t="s">
        <v>168</v>
      </c>
      <c r="B5" s="102">
        <v>30300</v>
      </c>
      <c r="C5" s="144">
        <v>7</v>
      </c>
      <c r="D5" s="125">
        <f>Tabla231411141618235644469561[[#This Row],[VALOR X DIA]]*Tabla231411141618235644469561[[#This Row],[CANTIDAD]]</f>
        <v>212100</v>
      </c>
    </row>
    <row r="6" spans="1:4" ht="15.75">
      <c r="A6" s="205"/>
      <c r="B6" s="102"/>
      <c r="C6" s="103"/>
      <c r="D6" s="125">
        <f>Tabla231411141618235644469561[[#This Row],[VALOR X DIA]]*Tabla231411141618235644469561[[#This Row],[CANTIDAD]]</f>
        <v>0</v>
      </c>
    </row>
    <row r="7" spans="1:4" ht="15.75">
      <c r="A7" s="126"/>
      <c r="B7" s="127"/>
      <c r="C7" s="128" t="s">
        <v>170</v>
      </c>
      <c r="D7" s="125">
        <f>D5+D6</f>
        <v>212100</v>
      </c>
    </row>
    <row r="8" spans="1:4" ht="15.75">
      <c r="A8" s="238" t="s">
        <v>27</v>
      </c>
      <c r="B8" s="208"/>
      <c r="C8" s="208"/>
      <c r="D8" s="239"/>
    </row>
    <row r="9" spans="1:4">
      <c r="A9" s="79" t="s">
        <v>11</v>
      </c>
      <c r="B9" s="3" t="s">
        <v>16</v>
      </c>
      <c r="C9" s="22" t="s">
        <v>18</v>
      </c>
      <c r="D9" s="80" t="s">
        <v>14</v>
      </c>
    </row>
    <row r="10" spans="1:4" ht="15.75">
      <c r="A10" s="129"/>
      <c r="B10" s="130"/>
      <c r="C10" s="102"/>
      <c r="D10" s="125"/>
    </row>
    <row r="11" spans="1:4" ht="15.75">
      <c r="A11" s="95"/>
      <c r="B11" s="130"/>
      <c r="C11" s="137"/>
      <c r="D11" s="94"/>
    </row>
    <row r="12" spans="1:4" ht="15.75">
      <c r="A12" s="129" t="s">
        <v>184</v>
      </c>
      <c r="B12" s="130" t="s">
        <v>185</v>
      </c>
      <c r="C12" s="102"/>
      <c r="D12" s="125"/>
    </row>
    <row r="13" spans="1:4" ht="15.75">
      <c r="A13" s="131"/>
      <c r="B13" s="132"/>
      <c r="C13" s="133"/>
      <c r="D13" s="134"/>
    </row>
    <row r="18" spans="1:4">
      <c r="A18" s="233" t="s">
        <v>167</v>
      </c>
      <c r="B18" s="234"/>
      <c r="C18" s="234"/>
      <c r="D18" s="235"/>
    </row>
    <row r="19" spans="1:4">
      <c r="A19" s="236"/>
      <c r="B19" s="207"/>
      <c r="C19" s="207"/>
      <c r="D19" s="237"/>
    </row>
    <row r="20" spans="1:4" ht="18">
      <c r="A20" s="77" t="s">
        <v>10</v>
      </c>
      <c r="B20" s="142" t="s">
        <v>42</v>
      </c>
      <c r="C20" s="47" t="s">
        <v>9</v>
      </c>
      <c r="D20" s="78">
        <f ca="1">TODAY()</f>
        <v>44716</v>
      </c>
    </row>
    <row r="21" spans="1:4">
      <c r="A21" s="79" t="s">
        <v>16</v>
      </c>
      <c r="B21" s="124" t="s">
        <v>183</v>
      </c>
      <c r="C21" s="22" t="s">
        <v>18</v>
      </c>
      <c r="D21" s="80" t="s">
        <v>19</v>
      </c>
    </row>
    <row r="22" spans="1:4" ht="15.75">
      <c r="A22" s="205" t="s">
        <v>168</v>
      </c>
      <c r="B22" s="102">
        <v>30300</v>
      </c>
      <c r="C22" s="144">
        <v>7</v>
      </c>
      <c r="D22" s="125">
        <f>Tabla23141114161823564446956166[[#This Row],[VALOR X DIA]]*Tabla23141114161823564446956166[[#This Row],[CANTIDAD]]</f>
        <v>212100</v>
      </c>
    </row>
    <row r="23" spans="1:4" ht="15.75">
      <c r="A23" s="205"/>
      <c r="B23" s="102"/>
      <c r="C23" s="103"/>
      <c r="D23" s="125">
        <f>Tabla23141114161823564446956166[[#This Row],[VALOR X DIA]]*Tabla23141114161823564446956166[[#This Row],[CANTIDAD]]</f>
        <v>0</v>
      </c>
    </row>
    <row r="24" spans="1:4" ht="15.75">
      <c r="A24" s="126"/>
      <c r="B24" s="127"/>
      <c r="C24" s="128" t="s">
        <v>170</v>
      </c>
      <c r="D24" s="125">
        <f>D22+D23</f>
        <v>212100</v>
      </c>
    </row>
    <row r="25" spans="1:4" ht="15.75">
      <c r="A25" s="238" t="s">
        <v>27</v>
      </c>
      <c r="B25" s="208"/>
      <c r="C25" s="208"/>
      <c r="D25" s="239"/>
    </row>
    <row r="26" spans="1:4">
      <c r="A26" s="79" t="s">
        <v>11</v>
      </c>
      <c r="B26" s="3" t="s">
        <v>16</v>
      </c>
      <c r="C26" s="22" t="s">
        <v>18</v>
      </c>
      <c r="D26" s="80" t="s">
        <v>14</v>
      </c>
    </row>
    <row r="27" spans="1:4" ht="15.75">
      <c r="A27" s="129"/>
      <c r="B27" s="130"/>
      <c r="C27" s="102"/>
      <c r="D27" s="125"/>
    </row>
    <row r="28" spans="1:4" ht="15.75">
      <c r="A28" s="95"/>
      <c r="B28" s="140"/>
      <c r="C28" s="137"/>
      <c r="D28" s="94"/>
    </row>
    <row r="29" spans="1:4" ht="15.75">
      <c r="A29" s="95" t="s">
        <v>184</v>
      </c>
      <c r="B29" s="130" t="s">
        <v>185</v>
      </c>
      <c r="C29" s="137"/>
      <c r="D29" s="94"/>
    </row>
    <row r="30" spans="1:4" ht="15.75">
      <c r="A30" s="131"/>
      <c r="B30" s="132"/>
      <c r="C30" s="133"/>
      <c r="D30" s="134"/>
    </row>
  </sheetData>
  <mergeCells count="4">
    <mergeCell ref="A1:D2"/>
    <mergeCell ref="A8:D8"/>
    <mergeCell ref="A18:D19"/>
    <mergeCell ref="A25:D2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642E-9C5D-4ABB-B13A-4DF89A6074C7}">
  <dimension ref="A2:O27"/>
  <sheetViews>
    <sheetView topLeftCell="A11" workbookViewId="0">
      <selection activeCell="A27" sqref="A27"/>
    </sheetView>
  </sheetViews>
  <sheetFormatPr defaultRowHeight="15"/>
  <cols>
    <col min="1" max="1" width="14.5703125" customWidth="1"/>
    <col min="2" max="2" width="9.7109375" customWidth="1"/>
    <col min="3" max="3" width="11.7109375" customWidth="1"/>
    <col min="4" max="4" width="13.7109375" customWidth="1"/>
    <col min="5" max="5" width="12.85546875" customWidth="1"/>
    <col min="6" max="6" width="11.85546875" customWidth="1"/>
    <col min="11" max="11" width="13.140625" customWidth="1"/>
  </cols>
  <sheetData>
    <row r="2" spans="1:15" ht="18.75">
      <c r="A2" s="175" t="s">
        <v>186</v>
      </c>
      <c r="B2" s="176" t="s">
        <v>187</v>
      </c>
      <c r="C2" s="186"/>
      <c r="D2" s="182" t="s">
        <v>188</v>
      </c>
      <c r="E2" s="183" t="s">
        <v>189</v>
      </c>
    </row>
    <row r="3" spans="1:15">
      <c r="A3" s="79"/>
      <c r="B3" s="124"/>
      <c r="C3" s="124"/>
      <c r="D3" s="79"/>
      <c r="E3" s="80"/>
    </row>
    <row r="4" spans="1:15" ht="26.25" customHeight="1">
      <c r="A4" s="173" t="s">
        <v>190</v>
      </c>
      <c r="B4" s="171"/>
      <c r="C4" s="171"/>
      <c r="D4" s="184"/>
      <c r="E4" s="172"/>
    </row>
    <row r="5" spans="1:15" ht="26.25" customHeight="1">
      <c r="A5" s="178" t="s">
        <v>53</v>
      </c>
      <c r="B5" s="124"/>
      <c r="C5" s="124"/>
      <c r="D5" s="79"/>
      <c r="E5" s="80"/>
    </row>
    <row r="6" spans="1:15" ht="26.25" customHeight="1">
      <c r="A6" s="178" t="s">
        <v>68</v>
      </c>
      <c r="B6" s="124"/>
      <c r="C6" s="124"/>
      <c r="D6" s="79"/>
      <c r="E6" s="80"/>
    </row>
    <row r="7" spans="1:15" ht="26.25" customHeight="1">
      <c r="A7" s="178" t="s">
        <v>76</v>
      </c>
      <c r="B7" s="124"/>
      <c r="C7" s="124"/>
      <c r="D7" s="79"/>
      <c r="E7" s="80"/>
    </row>
    <row r="8" spans="1:15" ht="26.25" customHeight="1">
      <c r="A8" s="178" t="s">
        <v>92</v>
      </c>
      <c r="B8" s="124"/>
      <c r="C8" s="124"/>
      <c r="D8" s="79"/>
      <c r="E8" s="80"/>
    </row>
    <row r="9" spans="1:15" ht="26.25" customHeight="1">
      <c r="A9" s="178" t="s">
        <v>174</v>
      </c>
      <c r="B9" s="124"/>
      <c r="C9" s="124"/>
      <c r="D9" s="79"/>
      <c r="E9" s="80"/>
    </row>
    <row r="10" spans="1:15" ht="26.25" customHeight="1">
      <c r="A10" s="178" t="s">
        <v>177</v>
      </c>
      <c r="B10" s="124"/>
      <c r="C10" s="124"/>
      <c r="D10" s="79"/>
      <c r="E10" s="80"/>
    </row>
    <row r="11" spans="1:15" ht="26.25" customHeight="1">
      <c r="A11" s="178" t="s">
        <v>85</v>
      </c>
      <c r="B11" s="124"/>
      <c r="C11" s="124"/>
      <c r="D11" s="79"/>
      <c r="E11" s="80"/>
    </row>
    <row r="12" spans="1:15" ht="26.25" customHeight="1">
      <c r="A12" s="178" t="s">
        <v>123</v>
      </c>
      <c r="B12" s="124"/>
      <c r="C12" s="124"/>
      <c r="D12" s="79"/>
      <c r="E12" s="80"/>
    </row>
    <row r="13" spans="1:15" ht="26.25" customHeight="1">
      <c r="A13" s="179" t="s">
        <v>111</v>
      </c>
      <c r="B13" s="180"/>
      <c r="C13" s="180"/>
      <c r="D13" s="185"/>
      <c r="E13" s="181"/>
    </row>
    <row r="16" spans="1:15" ht="18.75">
      <c r="A16" s="175" t="s">
        <v>191</v>
      </c>
      <c r="B16" s="176" t="s">
        <v>187</v>
      </c>
      <c r="C16" s="186"/>
      <c r="D16" s="182" t="s">
        <v>191</v>
      </c>
      <c r="E16" s="183" t="s">
        <v>189</v>
      </c>
      <c r="F16" s="175" t="s">
        <v>192</v>
      </c>
      <c r="G16" s="176" t="s">
        <v>187</v>
      </c>
      <c r="H16" s="186"/>
      <c r="I16" s="182" t="s">
        <v>192</v>
      </c>
      <c r="J16" s="183" t="s">
        <v>189</v>
      </c>
      <c r="K16" s="175" t="s">
        <v>193</v>
      </c>
      <c r="L16" s="176" t="s">
        <v>187</v>
      </c>
      <c r="M16" s="186"/>
      <c r="N16" s="182" t="s">
        <v>193</v>
      </c>
      <c r="O16" s="183" t="s">
        <v>189</v>
      </c>
    </row>
    <row r="17" spans="1:15">
      <c r="A17" s="79"/>
      <c r="B17" s="124"/>
      <c r="C17" s="124"/>
      <c r="D17" s="79"/>
      <c r="E17" s="80"/>
      <c r="F17" s="79"/>
      <c r="G17" s="124"/>
      <c r="H17" s="124"/>
      <c r="I17" s="79"/>
      <c r="J17" s="80"/>
      <c r="K17" s="79"/>
      <c r="L17" s="124"/>
      <c r="M17" s="124"/>
      <c r="N17" s="79"/>
      <c r="O17" s="80"/>
    </row>
    <row r="18" spans="1:15" ht="18.75">
      <c r="A18" s="182" t="s">
        <v>190</v>
      </c>
      <c r="B18" s="186"/>
      <c r="C18" s="186"/>
      <c r="D18" s="187"/>
      <c r="E18" s="177"/>
      <c r="F18" s="182" t="s">
        <v>190</v>
      </c>
      <c r="G18" s="186"/>
      <c r="H18" s="186"/>
      <c r="I18" s="187"/>
      <c r="J18" s="177"/>
      <c r="K18" s="182" t="s">
        <v>190</v>
      </c>
      <c r="L18" s="186"/>
      <c r="M18" s="186"/>
      <c r="N18" s="187"/>
      <c r="O18" s="177"/>
    </row>
    <row r="19" spans="1:15" ht="18.75">
      <c r="A19" s="173" t="s">
        <v>53</v>
      </c>
      <c r="B19" s="171"/>
      <c r="C19" s="172"/>
      <c r="D19" s="171"/>
      <c r="E19" s="172"/>
      <c r="F19" s="173" t="s">
        <v>53</v>
      </c>
      <c r="G19" s="171"/>
      <c r="H19" s="171"/>
      <c r="I19" s="184"/>
      <c r="J19" s="172"/>
      <c r="K19" s="173" t="s">
        <v>53</v>
      </c>
      <c r="L19" s="171"/>
      <c r="M19" s="171"/>
      <c r="N19" s="184"/>
      <c r="O19" s="172"/>
    </row>
    <row r="20" spans="1:15" ht="18.75">
      <c r="A20" s="178" t="s">
        <v>68</v>
      </c>
      <c r="B20" s="124"/>
      <c r="C20" s="124"/>
      <c r="D20" s="79"/>
      <c r="E20" s="80"/>
      <c r="F20" s="178" t="s">
        <v>68</v>
      </c>
      <c r="G20" s="124"/>
      <c r="H20" s="124"/>
      <c r="I20" s="79"/>
      <c r="J20" s="80"/>
      <c r="K20" s="178" t="s">
        <v>68</v>
      </c>
      <c r="L20" s="124"/>
      <c r="M20" s="124"/>
      <c r="N20" s="79"/>
      <c r="O20" s="80"/>
    </row>
    <row r="21" spans="1:15" ht="18.75">
      <c r="A21" s="173" t="s">
        <v>76</v>
      </c>
      <c r="B21" s="171"/>
      <c r="C21" s="172"/>
      <c r="D21" s="171"/>
      <c r="E21" s="172"/>
      <c r="F21" s="173" t="s">
        <v>76</v>
      </c>
      <c r="G21" s="171"/>
      <c r="H21" s="171"/>
      <c r="I21" s="184"/>
      <c r="J21" s="172"/>
      <c r="K21" s="173" t="s">
        <v>76</v>
      </c>
      <c r="L21" s="171"/>
      <c r="M21" s="171"/>
      <c r="N21" s="184"/>
      <c r="O21" s="172"/>
    </row>
    <row r="22" spans="1:15" ht="18.75">
      <c r="A22" s="178" t="s">
        <v>92</v>
      </c>
      <c r="B22" s="124"/>
      <c r="C22" s="124"/>
      <c r="D22" s="79"/>
      <c r="E22" s="80"/>
      <c r="F22" s="178" t="s">
        <v>92</v>
      </c>
      <c r="G22" s="124"/>
      <c r="H22" s="124"/>
      <c r="I22" s="79"/>
      <c r="J22" s="80"/>
      <c r="K22" s="178" t="s">
        <v>92</v>
      </c>
      <c r="L22" s="124"/>
      <c r="M22" s="124"/>
      <c r="N22" s="79"/>
      <c r="O22" s="80"/>
    </row>
    <row r="23" spans="1:15" ht="18.75">
      <c r="A23" s="173" t="s">
        <v>174</v>
      </c>
      <c r="B23" s="171"/>
      <c r="C23" s="171"/>
      <c r="D23" s="184"/>
      <c r="E23" s="172"/>
      <c r="F23" s="173" t="s">
        <v>174</v>
      </c>
      <c r="G23" s="171"/>
      <c r="H23" s="171"/>
      <c r="I23" s="184"/>
      <c r="J23" s="172"/>
      <c r="K23" s="173" t="s">
        <v>174</v>
      </c>
      <c r="L23" s="171"/>
      <c r="M23" s="171"/>
      <c r="N23" s="184"/>
      <c r="O23" s="172"/>
    </row>
    <row r="24" spans="1:15" ht="18.75">
      <c r="A24" s="178" t="s">
        <v>177</v>
      </c>
      <c r="B24" s="124"/>
      <c r="C24" s="124"/>
      <c r="D24" s="79"/>
      <c r="E24" s="80"/>
      <c r="F24" s="178" t="s">
        <v>177</v>
      </c>
      <c r="G24" s="124"/>
      <c r="H24" s="124"/>
      <c r="I24" s="79"/>
      <c r="J24" s="80"/>
      <c r="K24" s="178" t="s">
        <v>177</v>
      </c>
      <c r="L24" s="124"/>
      <c r="M24" s="124"/>
      <c r="N24" s="79"/>
      <c r="O24" s="80"/>
    </row>
    <row r="25" spans="1:15" ht="18.75">
      <c r="A25" s="173" t="s">
        <v>85</v>
      </c>
      <c r="B25" s="171"/>
      <c r="C25" s="171"/>
      <c r="D25" s="184"/>
      <c r="E25" s="172"/>
      <c r="F25" s="173" t="s">
        <v>85</v>
      </c>
      <c r="G25" s="171"/>
      <c r="H25" s="171"/>
      <c r="I25" s="184"/>
      <c r="J25" s="172"/>
      <c r="K25" s="173" t="s">
        <v>85</v>
      </c>
      <c r="L25" s="171"/>
      <c r="M25" s="171"/>
      <c r="N25" s="184"/>
      <c r="O25" s="172"/>
    </row>
    <row r="26" spans="1:15" ht="18.75">
      <c r="A26" s="178" t="s">
        <v>123</v>
      </c>
      <c r="B26" s="124"/>
      <c r="C26" s="124"/>
      <c r="D26" s="79"/>
      <c r="E26" s="80"/>
      <c r="F26" s="178" t="s">
        <v>123</v>
      </c>
      <c r="G26" s="124"/>
      <c r="H26" s="124"/>
      <c r="I26" s="79"/>
      <c r="J26" s="80"/>
      <c r="K26" s="178" t="s">
        <v>123</v>
      </c>
      <c r="L26" s="124"/>
      <c r="M26" s="124"/>
      <c r="N26" s="79"/>
      <c r="O26" s="80"/>
    </row>
    <row r="27" spans="1:15" ht="18.75">
      <c r="A27" s="173" t="s">
        <v>111</v>
      </c>
      <c r="B27" s="171"/>
      <c r="C27" s="171"/>
      <c r="D27" s="184"/>
      <c r="E27" s="172"/>
      <c r="F27" s="173" t="s">
        <v>111</v>
      </c>
      <c r="G27" s="171"/>
      <c r="H27" s="171"/>
      <c r="I27" s="184"/>
      <c r="J27" s="172"/>
      <c r="K27" s="173" t="s">
        <v>111</v>
      </c>
      <c r="L27" s="171"/>
      <c r="M27" s="171"/>
      <c r="N27" s="184"/>
      <c r="O27" s="17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0EC9-8A8F-4192-9E11-D3D73CFB46C5}">
  <sheetPr>
    <pageSetUpPr fitToPage="1"/>
  </sheetPr>
  <dimension ref="A4:D20"/>
  <sheetViews>
    <sheetView workbookViewId="0">
      <selection activeCell="J19" sqref="J19"/>
    </sheetView>
  </sheetViews>
  <sheetFormatPr defaultRowHeight="15"/>
  <cols>
    <col min="1" max="1" width="13.5703125" customWidth="1"/>
    <col min="2" max="2" width="16.28515625" customWidth="1"/>
    <col min="3" max="3" width="11.140625" customWidth="1"/>
    <col min="4" max="4" width="14" customWidth="1"/>
  </cols>
  <sheetData>
    <row r="4" spans="1:4" ht="15" customHeight="1">
      <c r="A4" s="233" t="s">
        <v>8</v>
      </c>
      <c r="B4" s="240"/>
      <c r="C4" s="240"/>
      <c r="D4" s="241"/>
    </row>
    <row r="5" spans="1:4" ht="15" customHeight="1">
      <c r="A5" s="242"/>
      <c r="B5" s="243"/>
      <c r="C5" s="243"/>
      <c r="D5" s="244"/>
    </row>
    <row r="6" spans="1:4">
      <c r="A6" s="77" t="s">
        <v>10</v>
      </c>
      <c r="B6" s="195" t="s">
        <v>129</v>
      </c>
      <c r="C6" s="47" t="s">
        <v>9</v>
      </c>
      <c r="D6" s="78">
        <f ca="1">TODAY()</f>
        <v>44716</v>
      </c>
    </row>
    <row r="7" spans="1:4">
      <c r="A7" s="79" t="s">
        <v>16</v>
      </c>
      <c r="B7" s="124" t="s">
        <v>17</v>
      </c>
      <c r="C7" s="22" t="s">
        <v>18</v>
      </c>
      <c r="D7" s="80" t="s">
        <v>19</v>
      </c>
    </row>
    <row r="8" spans="1:4">
      <c r="A8" s="79" t="s">
        <v>130</v>
      </c>
      <c r="B8" s="3">
        <v>1800000</v>
      </c>
      <c r="C8" s="22"/>
      <c r="D8" s="196">
        <f>Tabla23141114161823115997[[#This Row],[VALOR]]*Tabla23141114161823115997[[#This Row],[CANTIDAD]]</f>
        <v>0</v>
      </c>
    </row>
    <row r="9" spans="1:4">
      <c r="A9" s="79" t="s">
        <v>131</v>
      </c>
      <c r="B9" s="3">
        <v>900000</v>
      </c>
      <c r="C9" s="22">
        <v>1</v>
      </c>
      <c r="D9" s="196">
        <f>Tabla23141114161823115997[[#This Row],[VALOR]]*Tabla23141114161823115997[[#This Row],[CANTIDAD]]</f>
        <v>900000</v>
      </c>
    </row>
    <row r="10" spans="1:4">
      <c r="A10" s="79"/>
      <c r="B10" s="3"/>
      <c r="C10" s="22"/>
      <c r="D10" s="196">
        <f>Tabla23141114161823115997[[#This Row],[VALOR]]*Tabla23141114161823115997[[#This Row],[CANTIDAD]]</f>
        <v>0</v>
      </c>
    </row>
    <row r="11" spans="1:4">
      <c r="A11" s="79"/>
      <c r="B11" s="3"/>
      <c r="C11" s="89"/>
      <c r="D11" s="196">
        <f>Tabla23141114161823115997[[#This Row],[VALOR]]*Tabla23141114161823115997[[#This Row],[CANTIDAD]]</f>
        <v>0</v>
      </c>
    </row>
    <row r="12" spans="1:4">
      <c r="A12" s="79"/>
      <c r="B12" s="3"/>
      <c r="C12" s="22"/>
      <c r="D12" s="196">
        <f>Tabla23141114161823115997[[#This Row],[VALOR]]*Tabla23141114161823115997[[#This Row],[CANTIDAD]]</f>
        <v>0</v>
      </c>
    </row>
    <row r="13" spans="1:4">
      <c r="A13" s="79" t="s">
        <v>26</v>
      </c>
      <c r="B13" s="124"/>
      <c r="C13" s="197"/>
      <c r="D13" s="198">
        <f>SUBTOTAL(109,Tabla23141114161823115997[SUB TOTAL])</f>
        <v>900000</v>
      </c>
    </row>
    <row r="14" spans="1:4">
      <c r="A14" s="250" t="s">
        <v>27</v>
      </c>
      <c r="B14" s="251"/>
      <c r="C14" s="251"/>
      <c r="D14" s="252"/>
    </row>
    <row r="15" spans="1:4">
      <c r="A15" s="79" t="s">
        <v>11</v>
      </c>
      <c r="B15" s="3" t="s">
        <v>16</v>
      </c>
      <c r="C15" s="22" t="s">
        <v>18</v>
      </c>
      <c r="D15" s="80" t="s">
        <v>14</v>
      </c>
    </row>
    <row r="16" spans="1:4">
      <c r="A16" s="199">
        <v>44670</v>
      </c>
      <c r="B16" s="124" t="s">
        <v>30</v>
      </c>
      <c r="C16" s="22">
        <v>500000</v>
      </c>
      <c r="D16" s="198">
        <v>400000</v>
      </c>
    </row>
    <row r="17" spans="1:4">
      <c r="A17" s="199"/>
      <c r="B17" s="124"/>
      <c r="C17" s="200"/>
      <c r="D17" s="198">
        <f>D16-C17</f>
        <v>400000</v>
      </c>
    </row>
    <row r="18" spans="1:4">
      <c r="A18" s="199"/>
      <c r="B18" s="124"/>
      <c r="C18" s="200"/>
      <c r="D18" s="198">
        <f>D17-C18</f>
        <v>400000</v>
      </c>
    </row>
    <row r="19" spans="1:4">
      <c r="A19" s="245" t="s">
        <v>31</v>
      </c>
      <c r="B19" s="224"/>
      <c r="C19" s="224"/>
      <c r="D19" s="246"/>
    </row>
    <row r="20" spans="1:4">
      <c r="A20" s="247"/>
      <c r="B20" s="248"/>
      <c r="C20" s="248"/>
      <c r="D20" s="249"/>
    </row>
  </sheetData>
  <mergeCells count="3">
    <mergeCell ref="A19:D20"/>
    <mergeCell ref="A4:D5"/>
    <mergeCell ref="A14:D14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Loyo</dc:creator>
  <cp:keywords/>
  <dc:description/>
  <cp:lastModifiedBy>Bertha Nayati</cp:lastModifiedBy>
  <cp:revision/>
  <dcterms:created xsi:type="dcterms:W3CDTF">2023-02-21T17:16:40Z</dcterms:created>
  <dcterms:modified xsi:type="dcterms:W3CDTF">2026-06-05T18:06:41Z</dcterms:modified>
  <cp:category/>
  <cp:contentStatus/>
</cp:coreProperties>
</file>