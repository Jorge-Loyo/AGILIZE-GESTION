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\\SERVIDOR\Users\USER\Desktop\DOC ADMINISTR YOHA CDO\"/>
    </mc:Choice>
  </mc:AlternateContent>
  <xr:revisionPtr revIDLastSave="0" documentId="8_{064CD6DA-F2A0-418B-8155-DE30BE54CFD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NOMINA EMPELADOS CDO" sheetId="1" r:id="rId1"/>
    <sheet name="NOMINA DIRECTIVOS" sheetId="11" r:id="rId2"/>
    <sheet name=" 1RECIBOS DEL 1 AL 2" sheetId="6" r:id="rId3"/>
    <sheet name=" 1RECIBOS DEL 3 AL 4" sheetId="9" r:id="rId4"/>
    <sheet name=" 1RECIBOS DEL 5 AL6 " sheetId="10" r:id="rId5"/>
    <sheet name=" 1RECIBOS DEL D-1 Y D-2" sheetId="12" r:id="rId6"/>
    <sheet name="RESUMEN DE NOMINA" sheetId="13" r:id="rId7"/>
    <sheet name="ASISTENCIA" sheetId="7" r:id="rId8"/>
  </sheets>
  <definedNames>
    <definedName name="_xlnm.Print_Area" localSheetId="2">' 1RECIBOS DEL 1 AL 2'!$A$1:$N$66</definedName>
    <definedName name="_xlnm.Print_Area" localSheetId="3">' 1RECIBOS DEL 3 AL 4'!$A$1:$N$66</definedName>
    <definedName name="_xlnm.Print_Area" localSheetId="4">' 1RECIBOS DEL 5 AL6 '!$A$1:$N$105</definedName>
    <definedName name="_xlnm.Print_Area" localSheetId="5">' 1RECIBOS DEL D-1 Y D-2'!$A$1:$N$66</definedName>
    <definedName name="_xlnm.Print_Area" localSheetId="7">ASISTENCIA!$A$1:$AC$18</definedName>
    <definedName name="_xlnm.Print_Area" localSheetId="1">'NOMINA DIRECTIVOS'!$A$1:$AC$24</definedName>
    <definedName name="_xlnm.Print_Area" localSheetId="0">'NOMINA EMPELADOS CDO'!$A$1:$AD$30</definedName>
    <definedName name="_xlnm.Print_Area" localSheetId="6">'RESUMEN DE NOMINA'!$A$1:$AC$30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" i="1" l="1"/>
  <c r="AC22" i="1"/>
  <c r="AC21" i="1"/>
  <c r="AC20" i="1"/>
  <c r="T16" i="1"/>
  <c r="AC11" i="1"/>
  <c r="W12" i="1"/>
  <c r="W13" i="1"/>
  <c r="W14" i="1"/>
  <c r="W15" i="1"/>
  <c r="W11" i="1"/>
  <c r="T12" i="1"/>
  <c r="T13" i="1"/>
  <c r="T14" i="1"/>
  <c r="T15" i="1"/>
  <c r="N16" i="1"/>
  <c r="N15" i="1"/>
  <c r="N14" i="1"/>
  <c r="N13" i="1"/>
  <c r="N12" i="1"/>
  <c r="O15" i="1"/>
  <c r="O14" i="1"/>
  <c r="O13" i="1"/>
  <c r="O12" i="1"/>
  <c r="T11" i="1"/>
  <c r="N11" i="1"/>
  <c r="O11" i="1"/>
  <c r="C28" i="7"/>
  <c r="C27" i="7"/>
  <c r="C17" i="7"/>
  <c r="C16" i="7"/>
  <c r="C15" i="7"/>
  <c r="C14" i="7"/>
  <c r="C13" i="7"/>
  <c r="V10" i="7"/>
  <c r="S10" i="7"/>
  <c r="P10" i="7"/>
  <c r="M10" i="7"/>
  <c r="J10" i="7"/>
  <c r="B9" i="7"/>
  <c r="B8" i="7"/>
  <c r="U26" i="13"/>
  <c r="T26" i="13"/>
  <c r="S26" i="13"/>
  <c r="R26" i="13"/>
  <c r="Q26" i="13"/>
  <c r="P26" i="13"/>
  <c r="O26" i="13"/>
  <c r="N26" i="13"/>
  <c r="M26" i="13"/>
  <c r="J26" i="13"/>
  <c r="I26" i="13"/>
  <c r="U25" i="13"/>
  <c r="T25" i="13"/>
  <c r="S25" i="13"/>
  <c r="R25" i="13"/>
  <c r="P25" i="13"/>
  <c r="N25" i="13"/>
  <c r="J25" i="13"/>
  <c r="H25" i="13"/>
  <c r="U24" i="13"/>
  <c r="T24" i="13"/>
  <c r="S24" i="13"/>
  <c r="R24" i="13"/>
  <c r="P24" i="13"/>
  <c r="N24" i="13"/>
  <c r="J24" i="13"/>
  <c r="H24" i="13"/>
  <c r="U23" i="13"/>
  <c r="T23" i="13"/>
  <c r="S23" i="13"/>
  <c r="R23" i="13"/>
  <c r="P23" i="13"/>
  <c r="N23" i="13"/>
  <c r="J23" i="13"/>
  <c r="H23" i="13"/>
  <c r="U22" i="13"/>
  <c r="T22" i="13"/>
  <c r="S22" i="13"/>
  <c r="R22" i="13"/>
  <c r="P22" i="13"/>
  <c r="N22" i="13"/>
  <c r="J22" i="13"/>
  <c r="H22" i="13"/>
  <c r="U21" i="13"/>
  <c r="T21" i="13"/>
  <c r="S21" i="13"/>
  <c r="R21" i="13"/>
  <c r="P21" i="13"/>
  <c r="N21" i="13"/>
  <c r="J21" i="13"/>
  <c r="H21" i="13"/>
  <c r="U20" i="13"/>
  <c r="T20" i="13"/>
  <c r="S20" i="13"/>
  <c r="R20" i="13"/>
  <c r="P20" i="13"/>
  <c r="N20" i="13"/>
  <c r="J20" i="13"/>
  <c r="H20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AB15" i="13"/>
  <c r="AA15" i="13"/>
  <c r="W15" i="13"/>
  <c r="V15" i="13"/>
  <c r="U15" i="13"/>
  <c r="T15" i="13"/>
  <c r="S15" i="13"/>
  <c r="R15" i="13"/>
  <c r="Q15" i="13"/>
  <c r="O15" i="13"/>
  <c r="N15" i="13"/>
  <c r="M15" i="13"/>
  <c r="K15" i="13"/>
  <c r="J15" i="13"/>
  <c r="I15" i="13"/>
  <c r="B15" i="13"/>
  <c r="AB14" i="13"/>
  <c r="AA14" i="13"/>
  <c r="W14" i="13"/>
  <c r="V14" i="13"/>
  <c r="U14" i="13"/>
  <c r="T14" i="13"/>
  <c r="S14" i="13"/>
  <c r="N14" i="13"/>
  <c r="M14" i="13"/>
  <c r="K14" i="13"/>
  <c r="J14" i="13"/>
  <c r="I14" i="13"/>
  <c r="B14" i="13"/>
  <c r="AB13" i="13"/>
  <c r="AA13" i="13"/>
  <c r="W13" i="13"/>
  <c r="V13" i="13"/>
  <c r="U13" i="13"/>
  <c r="T13" i="13"/>
  <c r="S13" i="13"/>
  <c r="N13" i="13"/>
  <c r="M13" i="13"/>
  <c r="K13" i="13"/>
  <c r="J13" i="13"/>
  <c r="I13" i="13"/>
  <c r="B13" i="13"/>
  <c r="AB12" i="13"/>
  <c r="AA12" i="13"/>
  <c r="W12" i="13"/>
  <c r="V12" i="13"/>
  <c r="U12" i="13"/>
  <c r="T12" i="13"/>
  <c r="S12" i="13"/>
  <c r="R12" i="13"/>
  <c r="Q12" i="13"/>
  <c r="O12" i="13"/>
  <c r="N12" i="13"/>
  <c r="M12" i="13"/>
  <c r="K12" i="13"/>
  <c r="J12" i="13"/>
  <c r="I12" i="13"/>
  <c r="B12" i="13"/>
  <c r="AB11" i="13"/>
  <c r="AA11" i="13"/>
  <c r="W11" i="13"/>
  <c r="V11" i="13"/>
  <c r="U11" i="13"/>
  <c r="T11" i="13"/>
  <c r="S11" i="13"/>
  <c r="R11" i="13"/>
  <c r="Q11" i="13"/>
  <c r="N11" i="13"/>
  <c r="M11" i="13"/>
  <c r="K11" i="13"/>
  <c r="I11" i="13"/>
  <c r="G91" i="12"/>
  <c r="G90" i="12"/>
  <c r="I82" i="12"/>
  <c r="I81" i="12"/>
  <c r="I80" i="12"/>
  <c r="F80" i="12"/>
  <c r="I79" i="12"/>
  <c r="I78" i="12"/>
  <c r="F78" i="12"/>
  <c r="I77" i="12"/>
  <c r="F77" i="12"/>
  <c r="I76" i="12"/>
  <c r="F76" i="12"/>
  <c r="K73" i="12"/>
  <c r="G73" i="12"/>
  <c r="E73" i="12"/>
  <c r="K72" i="12"/>
  <c r="E72" i="12"/>
  <c r="C70" i="12"/>
  <c r="C68" i="12"/>
  <c r="G58" i="12"/>
  <c r="G57" i="12"/>
  <c r="G56" i="12"/>
  <c r="G55" i="12"/>
  <c r="G53" i="12"/>
  <c r="I50" i="12"/>
  <c r="F47" i="12"/>
  <c r="F45" i="12"/>
  <c r="F44" i="12"/>
  <c r="F43" i="12"/>
  <c r="K40" i="12"/>
  <c r="G40" i="12"/>
  <c r="E40" i="12"/>
  <c r="K39" i="12"/>
  <c r="E39" i="12"/>
  <c r="C37" i="12"/>
  <c r="L36" i="12"/>
  <c r="C35" i="12"/>
  <c r="G24" i="12"/>
  <c r="G23" i="12"/>
  <c r="G21" i="12"/>
  <c r="I18" i="12"/>
  <c r="F17" i="12"/>
  <c r="I16" i="12"/>
  <c r="F15" i="12"/>
  <c r="F13" i="12"/>
  <c r="F12" i="12"/>
  <c r="F11" i="12"/>
  <c r="D10" i="12"/>
  <c r="K8" i="12"/>
  <c r="G8" i="12"/>
  <c r="E8" i="12"/>
  <c r="K7" i="12"/>
  <c r="E7" i="12"/>
  <c r="L4" i="12"/>
  <c r="G91" i="10"/>
  <c r="G90" i="10"/>
  <c r="I82" i="10"/>
  <c r="I81" i="10"/>
  <c r="I80" i="10"/>
  <c r="F80" i="10"/>
  <c r="I79" i="10"/>
  <c r="I78" i="10"/>
  <c r="F78" i="10"/>
  <c r="I77" i="10"/>
  <c r="F77" i="10"/>
  <c r="I76" i="10"/>
  <c r="F76" i="10"/>
  <c r="K73" i="10"/>
  <c r="G73" i="10"/>
  <c r="E73" i="10"/>
  <c r="K72" i="10"/>
  <c r="E72" i="10"/>
  <c r="C70" i="10"/>
  <c r="C68" i="10"/>
  <c r="G58" i="10"/>
  <c r="G57" i="10"/>
  <c r="I50" i="10"/>
  <c r="F47" i="10"/>
  <c r="F45" i="10"/>
  <c r="F44" i="10"/>
  <c r="F43" i="10"/>
  <c r="K40" i="10"/>
  <c r="G40" i="10"/>
  <c r="E40" i="10"/>
  <c r="C37" i="10"/>
  <c r="C35" i="10"/>
  <c r="G26" i="10"/>
  <c r="G25" i="10"/>
  <c r="I16" i="10"/>
  <c r="F15" i="10"/>
  <c r="F13" i="10"/>
  <c r="F12" i="10"/>
  <c r="F11" i="10"/>
  <c r="K8" i="10"/>
  <c r="G8" i="10"/>
  <c r="E8" i="10"/>
  <c r="K7" i="10"/>
  <c r="E7" i="10"/>
  <c r="C5" i="10"/>
  <c r="G91" i="9"/>
  <c r="G90" i="9"/>
  <c r="I82" i="9"/>
  <c r="I81" i="9"/>
  <c r="I80" i="9"/>
  <c r="F80" i="9"/>
  <c r="I79" i="9"/>
  <c r="I78" i="9"/>
  <c r="F78" i="9"/>
  <c r="I77" i="9"/>
  <c r="F77" i="9"/>
  <c r="I76" i="9"/>
  <c r="F76" i="9"/>
  <c r="K73" i="9"/>
  <c r="G73" i="9"/>
  <c r="E73" i="9"/>
  <c r="K72" i="9"/>
  <c r="E72" i="9"/>
  <c r="C70" i="9"/>
  <c r="C68" i="9"/>
  <c r="G58" i="9"/>
  <c r="G57" i="9"/>
  <c r="F47" i="9"/>
  <c r="F45" i="9"/>
  <c r="F44" i="9"/>
  <c r="F43" i="9"/>
  <c r="K40" i="9"/>
  <c r="G40" i="9"/>
  <c r="E40" i="9"/>
  <c r="K39" i="9"/>
  <c r="E39" i="9"/>
  <c r="C37" i="9"/>
  <c r="C35" i="9"/>
  <c r="G26" i="9"/>
  <c r="G25" i="9"/>
  <c r="I16" i="9"/>
  <c r="F15" i="9"/>
  <c r="F13" i="9"/>
  <c r="F12" i="9"/>
  <c r="I11" i="9"/>
  <c r="F11" i="9"/>
  <c r="K8" i="9"/>
  <c r="G8" i="9"/>
  <c r="E8" i="9"/>
  <c r="K7" i="9"/>
  <c r="E7" i="9"/>
  <c r="C5" i="9"/>
  <c r="G91" i="6"/>
  <c r="G90" i="6"/>
  <c r="I82" i="6"/>
  <c r="I81" i="6"/>
  <c r="I80" i="6"/>
  <c r="F80" i="6"/>
  <c r="I79" i="6"/>
  <c r="I78" i="6"/>
  <c r="F78" i="6"/>
  <c r="I77" i="6"/>
  <c r="F77" i="6"/>
  <c r="I76" i="6"/>
  <c r="F76" i="6"/>
  <c r="G75" i="6"/>
  <c r="L75" i="6" s="1"/>
  <c r="G73" i="6"/>
  <c r="E73" i="6"/>
  <c r="K72" i="6"/>
  <c r="E72" i="6"/>
  <c r="C70" i="6"/>
  <c r="C68" i="6"/>
  <c r="G58" i="6"/>
  <c r="G57" i="6"/>
  <c r="F47" i="6"/>
  <c r="F45" i="6"/>
  <c r="F44" i="6"/>
  <c r="F43" i="6"/>
  <c r="K40" i="6"/>
  <c r="G40" i="6"/>
  <c r="E40" i="6"/>
  <c r="K39" i="6"/>
  <c r="E39" i="6"/>
  <c r="C37" i="6"/>
  <c r="L36" i="6"/>
  <c r="C35" i="6"/>
  <c r="G26" i="6"/>
  <c r="G25" i="6"/>
  <c r="G21" i="6"/>
  <c r="I16" i="6"/>
  <c r="F15" i="6"/>
  <c r="F13" i="6"/>
  <c r="I12" i="6"/>
  <c r="F12" i="6"/>
  <c r="F11" i="6"/>
  <c r="L10" i="6"/>
  <c r="G10" i="6"/>
  <c r="K8" i="6"/>
  <c r="G8" i="6"/>
  <c r="E8" i="6"/>
  <c r="K7" i="6"/>
  <c r="E7" i="6"/>
  <c r="C5" i="6"/>
  <c r="L4" i="6"/>
  <c r="T20" i="11"/>
  <c r="Q20" i="11"/>
  <c r="O20" i="11"/>
  <c r="M20" i="11"/>
  <c r="I20" i="11"/>
  <c r="T19" i="11"/>
  <c r="H19" i="11"/>
  <c r="T18" i="11"/>
  <c r="H18" i="11"/>
  <c r="T17" i="11"/>
  <c r="H17" i="11"/>
  <c r="Z13" i="11"/>
  <c r="Y13" i="11"/>
  <c r="X13" i="11"/>
  <c r="V13" i="11"/>
  <c r="U13" i="11"/>
  <c r="T13" i="11"/>
  <c r="Q13" i="11"/>
  <c r="P13" i="11"/>
  <c r="O13" i="11"/>
  <c r="N13" i="11"/>
  <c r="L13" i="11"/>
  <c r="Q12" i="11"/>
  <c r="O12" i="11"/>
  <c r="I12" i="11"/>
  <c r="Q11" i="11"/>
  <c r="J11" i="11"/>
  <c r="I11" i="11"/>
  <c r="AD7" i="11"/>
  <c r="AD6" i="11"/>
  <c r="C6" i="11"/>
  <c r="C5" i="12" s="1"/>
  <c r="C5" i="11"/>
  <c r="R26" i="1"/>
  <c r="P26" i="1"/>
  <c r="M26" i="1"/>
  <c r="I26" i="1"/>
  <c r="U25" i="1"/>
  <c r="H25" i="1"/>
  <c r="U24" i="1"/>
  <c r="S24" i="1"/>
  <c r="O24" i="1"/>
  <c r="T24" i="1" s="1"/>
  <c r="J24" i="1"/>
  <c r="H24" i="1"/>
  <c r="U23" i="1"/>
  <c r="H23" i="1"/>
  <c r="U22" i="1"/>
  <c r="H22" i="1"/>
  <c r="U21" i="1"/>
  <c r="H21" i="1"/>
  <c r="U20" i="1"/>
  <c r="U26" i="1" s="1"/>
  <c r="S20" i="1"/>
  <c r="Q20" i="1"/>
  <c r="I11" i="12" s="1"/>
  <c r="O20" i="1"/>
  <c r="J20" i="1"/>
  <c r="I15" i="9" s="1"/>
  <c r="H20" i="1"/>
  <c r="AA16" i="1"/>
  <c r="Z16" i="1"/>
  <c r="Y16" i="1"/>
  <c r="Q16" i="1"/>
  <c r="L16" i="1"/>
  <c r="V15" i="1"/>
  <c r="G24" i="10" s="1"/>
  <c r="S15" i="1"/>
  <c r="R15" i="1"/>
  <c r="P15" i="1"/>
  <c r="M15" i="1"/>
  <c r="K15" i="1"/>
  <c r="J15" i="1"/>
  <c r="Q24" i="1" s="1"/>
  <c r="I15" i="1"/>
  <c r="D10" i="10" s="1"/>
  <c r="J14" i="1"/>
  <c r="O23" i="1" s="1"/>
  <c r="I14" i="1"/>
  <c r="U13" i="1"/>
  <c r="J13" i="1"/>
  <c r="S22" i="1" s="1"/>
  <c r="I13" i="1"/>
  <c r="D75" i="9" s="1"/>
  <c r="R12" i="1"/>
  <c r="F49" i="9" s="1"/>
  <c r="P12" i="1"/>
  <c r="I48" i="6" s="1"/>
  <c r="J12" i="1"/>
  <c r="I12" i="1"/>
  <c r="D42" i="6" s="1"/>
  <c r="B12" i="1"/>
  <c r="L36" i="10" s="1"/>
  <c r="V11" i="1"/>
  <c r="G24" i="6" s="1"/>
  <c r="U11" i="1"/>
  <c r="R11" i="1"/>
  <c r="F17" i="6" s="1"/>
  <c r="K11" i="1"/>
  <c r="I11" i="1"/>
  <c r="M11" i="1" s="1"/>
  <c r="G88" i="6" l="1"/>
  <c r="G23" i="10"/>
  <c r="Q21" i="1"/>
  <c r="S12" i="1"/>
  <c r="G42" i="10"/>
  <c r="G86" i="10"/>
  <c r="G21" i="9"/>
  <c r="G86" i="12"/>
  <c r="G86" i="9"/>
  <c r="J16" i="1"/>
  <c r="G10" i="12"/>
  <c r="P17" i="11"/>
  <c r="M11" i="11"/>
  <c r="N17" i="11"/>
  <c r="D10" i="6"/>
  <c r="I10" i="6" s="1"/>
  <c r="I15" i="10"/>
  <c r="D42" i="10"/>
  <c r="K12" i="1"/>
  <c r="K13" i="1"/>
  <c r="P16" i="1"/>
  <c r="I12" i="10"/>
  <c r="I12" i="9"/>
  <c r="I12" i="12"/>
  <c r="J21" i="1"/>
  <c r="J23" i="1"/>
  <c r="K11" i="11"/>
  <c r="R17" i="11"/>
  <c r="G23" i="6"/>
  <c r="G89" i="6"/>
  <c r="F49" i="12"/>
  <c r="F49" i="10"/>
  <c r="F49" i="6"/>
  <c r="G75" i="10"/>
  <c r="Q22" i="1"/>
  <c r="V13" i="1"/>
  <c r="G75" i="12"/>
  <c r="G75" i="9"/>
  <c r="G10" i="9"/>
  <c r="O22" i="1"/>
  <c r="V14" i="1"/>
  <c r="G56" i="9" s="1"/>
  <c r="I15" i="12"/>
  <c r="J12" i="11"/>
  <c r="AD9" i="11"/>
  <c r="I15" i="6"/>
  <c r="G42" i="6"/>
  <c r="U12" i="1"/>
  <c r="G42" i="9"/>
  <c r="Q23" i="1"/>
  <c r="U14" i="1"/>
  <c r="K14" i="1"/>
  <c r="G55" i="9" s="1"/>
  <c r="T20" i="1"/>
  <c r="V20" i="1" s="1"/>
  <c r="O21" i="1"/>
  <c r="F17" i="10"/>
  <c r="F17" i="9"/>
  <c r="S11" i="1"/>
  <c r="D42" i="12"/>
  <c r="D42" i="9"/>
  <c r="M12" i="1"/>
  <c r="I48" i="12"/>
  <c r="I48" i="9"/>
  <c r="I48" i="10"/>
  <c r="V12" i="1"/>
  <c r="D75" i="12"/>
  <c r="D75" i="10"/>
  <c r="M13" i="1"/>
  <c r="M14" i="1"/>
  <c r="I18" i="10"/>
  <c r="R16" i="1"/>
  <c r="I13" i="12"/>
  <c r="I13" i="6"/>
  <c r="O26" i="1"/>
  <c r="I13" i="10"/>
  <c r="I13" i="9"/>
  <c r="S21" i="1"/>
  <c r="S26" i="1" s="1"/>
  <c r="J22" i="1"/>
  <c r="S23" i="1"/>
  <c r="V24" i="1"/>
  <c r="J26" i="1"/>
  <c r="R11" i="11"/>
  <c r="J17" i="11"/>
  <c r="D75" i="6"/>
  <c r="I75" i="6" s="1"/>
  <c r="D10" i="9"/>
  <c r="G10" i="10"/>
  <c r="I11" i="10"/>
  <c r="B13" i="1"/>
  <c r="U15" i="1"/>
  <c r="I11" i="6"/>
  <c r="X11" i="1" l="1"/>
  <c r="I17" i="10"/>
  <c r="I17" i="9"/>
  <c r="I17" i="12"/>
  <c r="S16" i="1"/>
  <c r="I17" i="6"/>
  <c r="L75" i="10"/>
  <c r="I75" i="10"/>
  <c r="L69" i="10"/>
  <c r="L69" i="12"/>
  <c r="L69" i="9"/>
  <c r="L4" i="9"/>
  <c r="B14" i="1"/>
  <c r="G56" i="10"/>
  <c r="G56" i="6"/>
  <c r="V16" i="1"/>
  <c r="L75" i="12"/>
  <c r="I75" i="12"/>
  <c r="K16" i="1"/>
  <c r="S17" i="11"/>
  <c r="J20" i="11"/>
  <c r="G53" i="10"/>
  <c r="G53" i="6"/>
  <c r="G42" i="12"/>
  <c r="P18" i="11"/>
  <c r="R18" i="11"/>
  <c r="N18" i="11"/>
  <c r="J18" i="11"/>
  <c r="M12" i="11"/>
  <c r="S12" i="11" s="1"/>
  <c r="R12" i="11"/>
  <c r="K12" i="11"/>
  <c r="K13" i="11" s="1"/>
  <c r="G89" i="12"/>
  <c r="G89" i="10"/>
  <c r="G24" i="9"/>
  <c r="G89" i="9"/>
  <c r="I47" i="12"/>
  <c r="I47" i="9"/>
  <c r="V21" i="1"/>
  <c r="V26" i="1" s="1"/>
  <c r="I47" i="10"/>
  <c r="I47" i="6"/>
  <c r="T21" i="1"/>
  <c r="U16" i="1"/>
  <c r="N20" i="11"/>
  <c r="I10" i="12"/>
  <c r="L10" i="12"/>
  <c r="I43" i="12"/>
  <c r="I43" i="9"/>
  <c r="I43" i="10"/>
  <c r="Q26" i="1"/>
  <c r="I43" i="6"/>
  <c r="L10" i="10"/>
  <c r="I10" i="10"/>
  <c r="R13" i="11"/>
  <c r="V22" i="1"/>
  <c r="T22" i="1"/>
  <c r="I45" i="12"/>
  <c r="I45" i="9"/>
  <c r="I45" i="10"/>
  <c r="I45" i="6"/>
  <c r="G53" i="9"/>
  <c r="L42" i="6"/>
  <c r="I42" i="6"/>
  <c r="L10" i="9"/>
  <c r="I10" i="9"/>
  <c r="R20" i="11"/>
  <c r="J13" i="11"/>
  <c r="Q25" i="1"/>
  <c r="S25" i="1"/>
  <c r="O25" i="1"/>
  <c r="J25" i="1"/>
  <c r="G21" i="10"/>
  <c r="G86" i="6"/>
  <c r="I14" i="12"/>
  <c r="I14" i="10"/>
  <c r="I14" i="9"/>
  <c r="I14" i="6"/>
  <c r="I19" i="6" s="1"/>
  <c r="T26" i="1"/>
  <c r="M13" i="11"/>
  <c r="S11" i="11"/>
  <c r="L42" i="10"/>
  <c r="I42" i="10"/>
  <c r="I18" i="6"/>
  <c r="I44" i="10"/>
  <c r="I44" i="6"/>
  <c r="I44" i="12"/>
  <c r="I44" i="9"/>
  <c r="I50" i="9"/>
  <c r="L75" i="9"/>
  <c r="I75" i="9"/>
  <c r="G88" i="12"/>
  <c r="G88" i="9"/>
  <c r="G88" i="10"/>
  <c r="G23" i="9"/>
  <c r="I50" i="6"/>
  <c r="L42" i="9"/>
  <c r="I42" i="9"/>
  <c r="T23" i="1"/>
  <c r="V23" i="1" s="1"/>
  <c r="P20" i="11"/>
  <c r="I49" i="10"/>
  <c r="I49" i="6"/>
  <c r="I49" i="12"/>
  <c r="I49" i="9"/>
  <c r="M16" i="1"/>
  <c r="X13" i="1" l="1"/>
  <c r="X12" i="1"/>
  <c r="X14" i="1"/>
  <c r="G22" i="6"/>
  <c r="G27" i="6" s="1"/>
  <c r="K27" i="6" s="1"/>
  <c r="AB11" i="1"/>
  <c r="I19" i="10"/>
  <c r="I46" i="12"/>
  <c r="I46" i="10"/>
  <c r="I51" i="10" s="1"/>
  <c r="I46" i="6"/>
  <c r="I46" i="9"/>
  <c r="I51" i="9" s="1"/>
  <c r="W12" i="11"/>
  <c r="S20" i="11"/>
  <c r="O16" i="1"/>
  <c r="W11" i="11"/>
  <c r="S13" i="11"/>
  <c r="T25" i="1"/>
  <c r="V25" i="1" s="1"/>
  <c r="P19" i="11"/>
  <c r="J19" i="11"/>
  <c r="R19" i="11"/>
  <c r="N19" i="11"/>
  <c r="I51" i="6"/>
  <c r="I19" i="12"/>
  <c r="S18" i="11"/>
  <c r="U18" i="11" s="1"/>
  <c r="I42" i="12"/>
  <c r="I51" i="12" s="1"/>
  <c r="L42" i="12"/>
  <c r="I83" i="12"/>
  <c r="I84" i="12" s="1"/>
  <c r="I83" i="9"/>
  <c r="I84" i="9" s="1"/>
  <c r="I83" i="6"/>
  <c r="I84" i="6" s="1"/>
  <c r="I83" i="10"/>
  <c r="I18" i="9"/>
  <c r="I19" i="9" s="1"/>
  <c r="U17" i="11"/>
  <c r="L36" i="9"/>
  <c r="B15" i="1"/>
  <c r="X15" i="1"/>
  <c r="G55" i="6"/>
  <c r="G55" i="10"/>
  <c r="W16" i="1"/>
  <c r="I84" i="10"/>
  <c r="X16" i="1" l="1"/>
  <c r="U20" i="11"/>
  <c r="G54" i="9"/>
  <c r="G59" i="9" s="1"/>
  <c r="K59" i="9" s="1"/>
  <c r="AB14" i="1"/>
  <c r="AC14" i="1" s="1"/>
  <c r="AA12" i="11"/>
  <c r="AB12" i="11" s="1"/>
  <c r="G54" i="12"/>
  <c r="G59" i="12" s="1"/>
  <c r="K59" i="12" s="1"/>
  <c r="G54" i="10"/>
  <c r="G59" i="10" s="1"/>
  <c r="K59" i="10" s="1"/>
  <c r="G54" i="6"/>
  <c r="G59" i="6" s="1"/>
  <c r="K59" i="6" s="1"/>
  <c r="AB12" i="1"/>
  <c r="AC12" i="1" s="1"/>
  <c r="G22" i="10"/>
  <c r="G27" i="10" s="1"/>
  <c r="K27" i="10" s="1"/>
  <c r="G87" i="6"/>
  <c r="G92" i="6" s="1"/>
  <c r="K92" i="6" s="1"/>
  <c r="AB15" i="1"/>
  <c r="AC15" i="1" s="1"/>
  <c r="G22" i="9"/>
  <c r="G27" i="9" s="1"/>
  <c r="K27" i="9" s="1"/>
  <c r="G87" i="12"/>
  <c r="G92" i="12" s="1"/>
  <c r="K92" i="12" s="1"/>
  <c r="G87" i="9"/>
  <c r="G92" i="9" s="1"/>
  <c r="K92" i="9" s="1"/>
  <c r="G87" i="10"/>
  <c r="G92" i="10" s="1"/>
  <c r="K92" i="10" s="1"/>
  <c r="AB13" i="1"/>
  <c r="AC13" i="1" s="1"/>
  <c r="G22" i="12"/>
  <c r="G27" i="12" s="1"/>
  <c r="K27" i="12" s="1"/>
  <c r="W13" i="11"/>
  <c r="AA11" i="11"/>
  <c r="L69" i="6"/>
  <c r="L4" i="10"/>
  <c r="S19" i="11"/>
  <c r="U19" i="11" s="1"/>
  <c r="AA13" i="11" l="1"/>
  <c r="AB11" i="11"/>
  <c r="AB13" i="11" s="1"/>
  <c r="AC16" i="1"/>
  <c r="AB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Yuliana Ragas</author>
    <author>MAMIDEL</author>
  </authors>
  <commentList>
    <comment ref="Q11" authorId="0" shapeId="0" xr:uid="{00000000-0006-0000-0000-000001000000}">
      <text>
        <r>
          <rPr>
            <b/>
            <sz val="9"/>
            <rFont val="Tahoma"/>
            <charset val="134"/>
          </rPr>
          <t>Yuliana Ragas:</t>
        </r>
        <r>
          <rPr>
            <sz val="9"/>
            <rFont val="Tahoma"/>
            <charset val="134"/>
          </rPr>
          <t xml:space="preserve">
SON SÓLO 19 DÍAS, YA EL CALCULO DE LA NÓMINA TIENE EL NUEVO SALARIO A PARTIR DEL DÍA 05/05. Y EL AJUSTE ES A PARTIR DEL 16-04.</t>
        </r>
      </text>
    </comment>
    <comment ref="AA12" authorId="1" shapeId="0" xr:uid="{00000000-0006-0000-0000-000002000000}">
      <text>
        <r>
          <rPr>
            <b/>
            <sz val="9"/>
            <rFont val="Tahoma"/>
            <charset val="134"/>
          </rPr>
          <t>MAMIDEL:</t>
        </r>
        <r>
          <rPr>
            <sz val="9"/>
            <rFont val="Tahoma"/>
            <charset val="134"/>
          </rPr>
          <t xml:space="preserve">
DESCUENTOS DE 4 HORAS CORRESPONDIENTES A LA PRIMERA QUINCENA DE NOVIEMBRE 09-11 Y 10-11-2017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Yuliana Ragas</author>
    <author>MAMIDEL</author>
  </authors>
  <commentList>
    <comment ref="P11" authorId="0" shapeId="0" xr:uid="{00000000-0006-0000-0100-000001000000}">
      <text>
        <r>
          <rPr>
            <b/>
            <sz val="9"/>
            <rFont val="Tahoma"/>
            <charset val="134"/>
          </rPr>
          <t>Yuliana Ragas:</t>
        </r>
        <r>
          <rPr>
            <sz val="9"/>
            <rFont val="Tahoma"/>
            <charset val="134"/>
          </rPr>
          <t xml:space="preserve">
SON SÓLO 19 DÍAS, YA EL CALCULO DE LA NÓMINA TIENE EL NUEVO SALARIO A PARTIR DEL DÍA 05/05. Y EL AJUSTE ES A PARTIR DEL 16-04.</t>
        </r>
      </text>
    </comment>
    <comment ref="Z12" authorId="1" shapeId="0" xr:uid="{00000000-0006-0000-0100-000002000000}">
      <text>
        <r>
          <rPr>
            <b/>
            <sz val="9"/>
            <rFont val="Tahoma"/>
            <charset val="134"/>
          </rPr>
          <t>MAMIDEL:</t>
        </r>
        <r>
          <rPr>
            <sz val="9"/>
            <rFont val="Tahoma"/>
            <charset val="134"/>
          </rPr>
          <t xml:space="preserve">
DESCUENTOS DE 4 HORAS CORRESPONDIENTES A LA PRIMERA QUINCENA DE NOVIEMBRE 09-11 Y 10-11-2017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Yuliana Ragas</author>
    <author>MAMIDEL</author>
  </authors>
  <commentList>
    <comment ref="P11" authorId="0" shapeId="0" xr:uid="{00000000-0006-0000-0600-000001000000}">
      <text>
        <r>
          <rPr>
            <b/>
            <sz val="9"/>
            <rFont val="Tahoma"/>
            <charset val="134"/>
          </rPr>
          <t>Yuliana Ragas:</t>
        </r>
        <r>
          <rPr>
            <sz val="9"/>
            <rFont val="Tahoma"/>
            <charset val="134"/>
          </rPr>
          <t xml:space="preserve">
SON SÓLO 19 DÍAS, YA EL CALCULO DE LA NÓMINA TIENE EL NUEVO SALARIO A PARTIR DEL DÍA 05/05. Y EL AJUSTE ES A PARTIR DEL 16-04.</t>
        </r>
      </text>
    </comment>
    <comment ref="Z12" authorId="1" shapeId="0" xr:uid="{00000000-0006-0000-0600-000002000000}">
      <text>
        <r>
          <rPr>
            <b/>
            <sz val="9"/>
            <rFont val="Tahoma"/>
            <charset val="134"/>
          </rPr>
          <t>MAMIDEL:</t>
        </r>
        <r>
          <rPr>
            <sz val="9"/>
            <rFont val="Tahoma"/>
            <charset val="134"/>
          </rPr>
          <t xml:space="preserve">
DESCUENTOS DE 4 HORAS CORRESPONDIENTES A LA PRIMERA QUINCENA DE NOVIEMBRE 09-11 Y 10-11-2017
</t>
        </r>
      </text>
    </comment>
  </commentList>
</comments>
</file>

<file path=xl/sharedStrings.xml><?xml version="1.0" encoding="utf-8"?>
<sst xmlns="http://schemas.openxmlformats.org/spreadsheetml/2006/main" count="936" uniqueCount="133">
  <si>
    <r>
      <rPr>
        <b/>
        <sz val="10"/>
        <rFont val="Century Gothic"/>
        <charset val="134"/>
      </rPr>
      <t xml:space="preserve">COMERCIALIZADORA CASA DULCE ORIENTE, C.A                            </t>
    </r>
    <r>
      <rPr>
        <b/>
        <i/>
        <sz val="10"/>
        <rFont val="Century Gothic"/>
        <charset val="134"/>
      </rPr>
      <t xml:space="preserve">  RIF: J-50223534-5</t>
    </r>
  </si>
  <si>
    <t>MES DE ABRIL  2026</t>
  </si>
  <si>
    <t>DESDE EL 01/04 AL  30/04/2026</t>
  </si>
  <si>
    <t>TASA AL 31-03-2026</t>
  </si>
  <si>
    <t>NOMINA DE EMPLEADOS COMERCIALIZADORA CASA DULCE ORIENTE, C.A</t>
  </si>
  <si>
    <t>COD</t>
  </si>
  <si>
    <t xml:space="preserve">NOMBRE Y APELLIDOS </t>
  </si>
  <si>
    <t xml:space="preserve">CEDULA </t>
  </si>
  <si>
    <t>RIF</t>
  </si>
  <si>
    <t xml:space="preserve">FECHA DE INGRESO </t>
  </si>
  <si>
    <t xml:space="preserve">CARGO </t>
  </si>
  <si>
    <t xml:space="preserve">DEPARTAMENTO </t>
  </si>
  <si>
    <t>DIAS TRABAJ.</t>
  </si>
  <si>
    <t>SALARIO</t>
  </si>
  <si>
    <t xml:space="preserve">SALARIO MENSUAL </t>
  </si>
  <si>
    <t>RETROACTIVO 15-06-2018</t>
  </si>
  <si>
    <t>TOTAL SALARIO MENSUAL</t>
  </si>
  <si>
    <t>BONO COMPLEMENTARIO</t>
  </si>
  <si>
    <t>REEMB.</t>
  </si>
  <si>
    <t>RETROACTIVO POR AJUSTE  DE SALARIO A PARTIR DEL 16-04-2019</t>
  </si>
  <si>
    <t>(HORAS)             TIEMPO DE VIAJE</t>
  </si>
  <si>
    <t>PAGO TIEMPO DE VIAJE</t>
  </si>
  <si>
    <t xml:space="preserve">TOTAL DEVENGADO </t>
  </si>
  <si>
    <t>DEDUCCIONES</t>
  </si>
  <si>
    <t xml:space="preserve">TOTAL PAGADO </t>
  </si>
  <si>
    <t>GANADO</t>
  </si>
  <si>
    <t xml:space="preserve">SEGURO SOCIAL </t>
  </si>
  <si>
    <t>PARO FORSOZO</t>
  </si>
  <si>
    <t>AHORRO HAB.</t>
  </si>
  <si>
    <t>I.S.L.R</t>
  </si>
  <si>
    <t>DESC. POR PRESTAMOS (1)</t>
  </si>
  <si>
    <t>DESC. POR PRESTAMOS (2)</t>
  </si>
  <si>
    <t>OTRAS</t>
  </si>
  <si>
    <t>TOTAL DEDUCCIONES</t>
  </si>
  <si>
    <t>DAIRILYS DEL CARMEN GUAREGUA CHAGUAN</t>
  </si>
  <si>
    <t>V-16067033-5</t>
  </si>
  <si>
    <t>ENCARGADA DE TIENDA</t>
  </si>
  <si>
    <t>ADMINISTRACION</t>
  </si>
  <si>
    <t>EMILIO JOSÉ PINTO DOMIGUEZ</t>
  </si>
  <si>
    <t>V-08326409-4</t>
  </si>
  <si>
    <t>LOGISTICA</t>
  </si>
  <si>
    <t>OPERACIONES</t>
  </si>
  <si>
    <t>JESÚS RAFAEL ARAY CAGUANA</t>
  </si>
  <si>
    <t>V-08234036-6</t>
  </si>
  <si>
    <t>THEISY DEL CARMEN NADALES LOPEZ</t>
  </si>
  <si>
    <t>V-19316663-2</t>
  </si>
  <si>
    <t>VENDEDORA</t>
  </si>
  <si>
    <t>ATENCION AL CLIENTE</t>
  </si>
  <si>
    <t xml:space="preserve"> MARIA VICTORIA GUAITA CANELON</t>
  </si>
  <si>
    <t>V-31311552-2</t>
  </si>
  <si>
    <t>CAJERA</t>
  </si>
  <si>
    <t xml:space="preserve">    </t>
  </si>
  <si>
    <t>EMPLEADOS</t>
  </si>
  <si>
    <t xml:space="preserve">HRS </t>
  </si>
  <si>
    <t xml:space="preserve">FERIADO </t>
  </si>
  <si>
    <t>SABADO</t>
  </si>
  <si>
    <t>S.D  24/06/2015</t>
  </si>
  <si>
    <t>S.N</t>
  </si>
  <si>
    <t>RECARG. DOM.</t>
  </si>
  <si>
    <t xml:space="preserve">TOTAL HRS. </t>
  </si>
  <si>
    <t>TOTAL SOBRE-TIEMPO</t>
  </si>
  <si>
    <t>D-1</t>
  </si>
  <si>
    <t>ELIAS ANTONIO NAYATI VARGAS</t>
  </si>
  <si>
    <t>V-15514275-4</t>
  </si>
  <si>
    <t>PRESIDENTE</t>
  </si>
  <si>
    <t>PRESIDENCIA</t>
  </si>
  <si>
    <t>D-2</t>
  </si>
  <si>
    <t>KARELIS ADREINA ESPLUGUEZ SARMIENTO</t>
  </si>
  <si>
    <t>V-16489561-7</t>
  </si>
  <si>
    <t>VICEPRESIDENTE</t>
  </si>
  <si>
    <t>DIRECTIVOS</t>
  </si>
  <si>
    <t xml:space="preserve"> </t>
  </si>
  <si>
    <r>
      <rPr>
        <b/>
        <sz val="22"/>
        <rFont val="Arial"/>
        <charset val="134"/>
      </rPr>
      <t xml:space="preserve">COMERCIALIZADORA CASA DULCE ORIENTE, C.A.                                                          </t>
    </r>
    <r>
      <rPr>
        <sz val="22"/>
        <rFont val="Arial"/>
        <charset val="134"/>
      </rPr>
      <t xml:space="preserve"> </t>
    </r>
    <r>
      <rPr>
        <b/>
        <sz val="22"/>
        <rFont val="Arial"/>
        <charset val="134"/>
      </rPr>
      <t xml:space="preserve">  RIF: J-50223534-5</t>
    </r>
  </si>
  <si>
    <t>COMPROBANTE DE PAGO</t>
  </si>
  <si>
    <t>Nº</t>
  </si>
  <si>
    <t>NOMBRES Y APELLIDOS:</t>
  </si>
  <si>
    <t>C.I.:</t>
  </si>
  <si>
    <t>FECHA DE INGRESO:</t>
  </si>
  <si>
    <t xml:space="preserve">CARGO: </t>
  </si>
  <si>
    <t>DPTO:</t>
  </si>
  <si>
    <t>TOTAL  DEVENGADO:</t>
  </si>
  <si>
    <t xml:space="preserve">DIAS </t>
  </si>
  <si>
    <t>SALARIO DIARIO:</t>
  </si>
  <si>
    <t>Bs.</t>
  </si>
  <si>
    <t>SALARIO  MENSUAL:</t>
  </si>
  <si>
    <t>H. EXTRAS DIURNAS</t>
  </si>
  <si>
    <t>Nº HORAS</t>
  </si>
  <si>
    <t xml:space="preserve">H EXTRAS NOCTURNAS </t>
  </si>
  <si>
    <t>RECARGO DOMINGO</t>
  </si>
  <si>
    <t>A  Bs.</t>
  </si>
  <si>
    <t xml:space="preserve">REEMBOLSO </t>
  </si>
  <si>
    <t>TIEMPO DE VIAJE</t>
  </si>
  <si>
    <t xml:space="preserve">HORAS </t>
  </si>
  <si>
    <t xml:space="preserve">TOTAL DEVENGADO  </t>
  </si>
  <si>
    <t>TOTAL  DEDUCCIONES:</t>
  </si>
  <si>
    <t>S.S.O.</t>
  </si>
  <si>
    <t xml:space="preserve">  BsS.</t>
  </si>
  <si>
    <t>AHORRO HABITACIONAL</t>
  </si>
  <si>
    <t>PARO FORZOSO</t>
  </si>
  <si>
    <t xml:space="preserve">DESC. POR PRESTAMOS </t>
  </si>
  <si>
    <t xml:space="preserve">OTRAS </t>
  </si>
  <si>
    <t xml:space="preserve">TOTAL DEDUCCIONES </t>
  </si>
  <si>
    <t>TOTAL RECIBIDO Bs.</t>
  </si>
  <si>
    <t xml:space="preserve">FIRMA </t>
  </si>
  <si>
    <t>CUOTA N° 33/47</t>
  </si>
  <si>
    <t>TOTAL RECIBIDO BsS.</t>
  </si>
  <si>
    <t>PRODUCCIÓN</t>
  </si>
  <si>
    <t>CUOTA N°</t>
  </si>
  <si>
    <t xml:space="preserve">OTROS </t>
  </si>
  <si>
    <t>MES DE AGOSTO 2025</t>
  </si>
  <si>
    <t>DESDE EL 01/08 AL  31/08/2025</t>
  </si>
  <si>
    <t>TASA AL 30-07-2025</t>
  </si>
  <si>
    <t xml:space="preserve">ASISTENCIAS DE EMPLEADOS </t>
  </si>
  <si>
    <t xml:space="preserve">COD </t>
  </si>
  <si>
    <t xml:space="preserve">TRABAJADOR </t>
  </si>
  <si>
    <t xml:space="preserve">TOTAL A PAGAR TIEMPO DE VIAJE </t>
  </si>
  <si>
    <t xml:space="preserve">TOTAL A PAGAR DIAS </t>
  </si>
  <si>
    <t xml:space="preserve">DESCUENTO DE HORAS </t>
  </si>
  <si>
    <t>OBSERVACIÓN</t>
  </si>
  <si>
    <t>D</t>
  </si>
  <si>
    <t>S</t>
  </si>
  <si>
    <t>L</t>
  </si>
  <si>
    <t>M</t>
  </si>
  <si>
    <t>J</t>
  </si>
  <si>
    <t>V</t>
  </si>
  <si>
    <t>X</t>
  </si>
  <si>
    <t>NINGUNA</t>
  </si>
  <si>
    <t>DIA DEL TRABAJADOR</t>
  </si>
  <si>
    <t xml:space="preserve">PERMISO PERSONALES </t>
  </si>
  <si>
    <t xml:space="preserve">REPOSO NATURAL </t>
  </si>
  <si>
    <t>SALARIO COMPLEMENTARIO</t>
  </si>
  <si>
    <t>BONO DE GUERRA COMPLEMENTARIO</t>
  </si>
  <si>
    <t>ASESORA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</si>
</sst>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dd/mm/yyyy;@"/>
    <numFmt numFmtId="167" formatCode="#,##0.00;[Red]#,##0.00"/>
    <numFmt numFmtId="168" formatCode="0;[Red]0"/>
    <numFmt numFmtId="169" formatCode="#,##0;[Red]#,##0"/>
    <numFmt numFmtId="170" formatCode="[$Bs-200A]\ #,##0.00"/>
    <numFmt numFmtId="171" formatCode="&quot;Bs. _x0001_&quot;\ #,##0.00"/>
  </numFmts>
  <fonts count="40">
    <font>
      <sz val="10"/>
      <name val="Arial"/>
      <charset val="134"/>
    </font>
    <font>
      <b/>
      <u/>
      <sz val="16"/>
      <name val="Calibri"/>
      <charset val="134"/>
      <scheme val="minor"/>
    </font>
    <font>
      <b/>
      <sz val="14"/>
      <name val="Calibri"/>
      <charset val="134"/>
      <scheme val="minor"/>
    </font>
    <font>
      <b/>
      <sz val="10"/>
      <name val="Arial"/>
      <charset val="134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9"/>
      <name val="Century Gothic"/>
      <charset val="134"/>
    </font>
    <font>
      <b/>
      <sz val="10"/>
      <name val="Century Gothic"/>
      <charset val="134"/>
    </font>
    <font>
      <b/>
      <sz val="11"/>
      <color rgb="FF0033CC"/>
      <name val="Century Gothic"/>
      <charset val="134"/>
    </font>
    <font>
      <sz val="8"/>
      <name val="Century Gothic"/>
      <charset val="134"/>
    </font>
    <font>
      <b/>
      <u/>
      <sz val="16"/>
      <color rgb="FF0033CC"/>
      <name val="Century Gothic"/>
      <charset val="134"/>
    </font>
    <font>
      <b/>
      <sz val="6"/>
      <color rgb="FF0033CC"/>
      <name val="Century Gothic"/>
      <charset val="134"/>
    </font>
    <font>
      <b/>
      <sz val="9"/>
      <color rgb="FF0033CC"/>
      <name val="Century Gothic"/>
      <charset val="134"/>
    </font>
    <font>
      <b/>
      <sz val="8"/>
      <color rgb="FF0033CC"/>
      <name val="Century Gothic"/>
      <charset val="134"/>
    </font>
    <font>
      <b/>
      <sz val="7"/>
      <color rgb="FF0033CC"/>
      <name val="Century Gothic"/>
      <charset val="134"/>
    </font>
    <font>
      <b/>
      <sz val="10"/>
      <color rgb="FF0033CC"/>
      <name val="Century Gothic"/>
      <charset val="134"/>
    </font>
    <font>
      <sz val="6"/>
      <color rgb="FF0033CC"/>
      <name val="Century Gothic"/>
      <charset val="134"/>
    </font>
    <font>
      <sz val="9"/>
      <color rgb="FF0033CC"/>
      <name val="Century Gothic"/>
      <charset val="134"/>
    </font>
    <font>
      <sz val="8"/>
      <color rgb="FF0033CC"/>
      <name val="Century Gothic"/>
      <charset val="134"/>
    </font>
    <font>
      <b/>
      <sz val="9"/>
      <color rgb="FFFF0000"/>
      <name val="Century Gothic"/>
      <charset val="134"/>
    </font>
    <font>
      <sz val="6"/>
      <name val="Century Gothic"/>
      <charset val="134"/>
    </font>
    <font>
      <b/>
      <sz val="9"/>
      <name val="Century Gothic"/>
      <charset val="134"/>
    </font>
    <font>
      <b/>
      <sz val="9"/>
      <color theme="1"/>
      <name val="Century Gothic"/>
      <charset val="134"/>
    </font>
    <font>
      <sz val="9"/>
      <color indexed="8"/>
      <name val="Century Gothic"/>
      <charset val="134"/>
    </font>
    <font>
      <b/>
      <sz val="9"/>
      <color indexed="8"/>
      <name val="Century Gothic"/>
      <charset val="134"/>
    </font>
    <font>
      <sz val="9"/>
      <color rgb="FFFF0000"/>
      <name val="Century Gothic"/>
      <charset val="134"/>
    </font>
    <font>
      <b/>
      <sz val="22"/>
      <name val="Arial"/>
      <charset val="134"/>
    </font>
    <font>
      <sz val="24"/>
      <name val="Arial"/>
      <charset val="134"/>
    </font>
    <font>
      <b/>
      <sz val="12"/>
      <name val="Arial"/>
      <charset val="134"/>
    </font>
    <font>
      <sz val="12"/>
      <color indexed="8"/>
      <name val="Calibri"/>
      <charset val="134"/>
    </font>
    <font>
      <sz val="22"/>
      <color indexed="10"/>
      <name val="Arial"/>
      <charset val="134"/>
    </font>
    <font>
      <sz val="22"/>
      <color indexed="8"/>
      <name val="Arial"/>
      <charset val="134"/>
    </font>
    <font>
      <sz val="22"/>
      <color theme="1"/>
      <name val="Arial"/>
      <charset val="134"/>
    </font>
    <font>
      <sz val="22"/>
      <name val="Arial"/>
      <charset val="134"/>
    </font>
    <font>
      <b/>
      <sz val="24"/>
      <name val="Arial"/>
      <charset val="134"/>
    </font>
    <font>
      <sz val="20"/>
      <color theme="1"/>
      <name val="Arial"/>
      <charset val="134"/>
    </font>
    <font>
      <b/>
      <sz val="24"/>
      <color indexed="8"/>
      <name val="Arial"/>
      <charset val="134"/>
    </font>
    <font>
      <b/>
      <i/>
      <sz val="10"/>
      <name val="Century Gothic"/>
      <charset val="134"/>
    </font>
    <font>
      <b/>
      <sz val="9"/>
      <name val="Tahoma"/>
      <charset val="134"/>
    </font>
    <font>
      <sz val="9"/>
      <name val="Tahoma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5117038483843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4" borderId="6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5" fillId="7" borderId="10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4" fontId="2" fillId="4" borderId="10" xfId="0" applyNumberFormat="1" applyFont="1" applyFill="1" applyBorder="1" applyAlignment="1">
      <alignment horizontal="center"/>
    </xf>
    <xf numFmtId="0" fontId="0" fillId="6" borderId="11" xfId="0" applyFill="1" applyBorder="1"/>
    <xf numFmtId="0" fontId="4" fillId="0" borderId="0" xfId="0" applyFont="1"/>
    <xf numFmtId="0" fontId="0" fillId="8" borderId="11" xfId="0" applyFill="1" applyBorder="1"/>
    <xf numFmtId="0" fontId="0" fillId="9" borderId="11" xfId="0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 wrapText="1"/>
    </xf>
    <xf numFmtId="166" fontId="6" fillId="0" borderId="10" xfId="0" applyNumberFormat="1" applyFont="1" applyBorder="1" applyAlignment="1">
      <alignment horizontal="center" vertical="center" wrapText="1"/>
    </xf>
    <xf numFmtId="4" fontId="21" fillId="0" borderId="10" xfId="0" applyNumberFormat="1" applyFont="1" applyBorder="1" applyAlignment="1">
      <alignment horizontal="center" vertical="center" wrapText="1"/>
    </xf>
    <xf numFmtId="167" fontId="22" fillId="4" borderId="10" xfId="0" applyNumberFormat="1" applyFont="1" applyFill="1" applyBorder="1" applyAlignment="1">
      <alignment horizontal="center" vertical="center" wrapText="1"/>
    </xf>
    <xf numFmtId="167" fontId="22" fillId="10" borderId="10" xfId="0" applyNumberFormat="1" applyFont="1" applyFill="1" applyBorder="1" applyAlignment="1">
      <alignment horizontal="center" vertical="center" wrapText="1"/>
    </xf>
    <xf numFmtId="39" fontId="23" fillId="0" borderId="10" xfId="0" applyNumberFormat="1" applyFont="1" applyBorder="1" applyAlignment="1">
      <alignment horizontal="center" vertical="center" wrapText="1"/>
    </xf>
    <xf numFmtId="39" fontId="24" fillId="0" borderId="10" xfId="0" applyNumberFormat="1" applyFont="1" applyBorder="1" applyAlignment="1">
      <alignment horizontal="center" vertical="center" wrapText="1"/>
    </xf>
    <xf numFmtId="167" fontId="19" fillId="4" borderId="10" xfId="0" applyNumberFormat="1" applyFont="1" applyFill="1" applyBorder="1" applyAlignment="1">
      <alignment horizontal="center" vertical="center" wrapText="1"/>
    </xf>
    <xf numFmtId="167" fontId="25" fillId="4" borderId="10" xfId="0" applyNumberFormat="1" applyFont="1" applyFill="1" applyBorder="1" applyAlignment="1">
      <alignment horizontal="center" vertical="center" wrapText="1"/>
    </xf>
    <xf numFmtId="167" fontId="7" fillId="4" borderId="10" xfId="0" applyNumberFormat="1" applyFont="1" applyFill="1" applyBorder="1" applyAlignment="1">
      <alignment horizontal="center" vertical="center" wrapText="1"/>
    </xf>
    <xf numFmtId="167" fontId="7" fillId="4" borderId="0" xfId="0" applyNumberFormat="1" applyFont="1" applyFill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6" fontId="6" fillId="4" borderId="10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167" fontId="21" fillId="0" borderId="20" xfId="0" applyNumberFormat="1" applyFont="1" applyBorder="1" applyAlignment="1">
      <alignment horizontal="center" vertical="center" wrapText="1"/>
    </xf>
    <xf numFmtId="167" fontId="21" fillId="10" borderId="21" xfId="0" applyNumberFormat="1" applyFont="1" applyFill="1" applyBorder="1" applyAlignment="1">
      <alignment horizontal="center" vertical="center" wrapText="1"/>
    </xf>
    <xf numFmtId="167" fontId="21" fillId="0" borderId="22" xfId="0" applyNumberFormat="1" applyFont="1" applyBorder="1" applyAlignment="1">
      <alignment horizontal="center" vertical="center" wrapText="1"/>
    </xf>
    <xf numFmtId="167" fontId="21" fillId="10" borderId="19" xfId="0" applyNumberFormat="1" applyFont="1" applyFill="1" applyBorder="1" applyAlignment="1">
      <alignment horizontal="center" vertical="center" wrapText="1"/>
    </xf>
    <xf numFmtId="167" fontId="19" fillId="0" borderId="19" xfId="0" applyNumberFormat="1" applyFont="1" applyBorder="1" applyAlignment="1">
      <alignment horizontal="center" vertical="center" wrapText="1"/>
    </xf>
    <xf numFmtId="167" fontId="19" fillId="4" borderId="19" xfId="0" applyNumberFormat="1" applyFont="1" applyFill="1" applyBorder="1" applyAlignment="1">
      <alignment horizontal="center" vertical="center" wrapText="1"/>
    </xf>
    <xf numFmtId="167" fontId="7" fillId="4" borderId="21" xfId="0" applyNumberFormat="1" applyFont="1" applyFill="1" applyBorder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39" fontId="6" fillId="0" borderId="0" xfId="0" applyNumberFormat="1" applyFont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168" fontId="21" fillId="4" borderId="25" xfId="0" applyNumberFormat="1" applyFont="1" applyFill="1" applyBorder="1" applyAlignment="1">
      <alignment horizontal="center" vertical="center" wrapText="1"/>
    </xf>
    <xf numFmtId="167" fontId="6" fillId="4" borderId="25" xfId="0" applyNumberFormat="1" applyFont="1" applyFill="1" applyBorder="1" applyAlignment="1">
      <alignment horizontal="center" vertical="center" wrapText="1"/>
    </xf>
    <xf numFmtId="167" fontId="21" fillId="4" borderId="25" xfId="0" applyNumberFormat="1" applyFont="1" applyFill="1" applyBorder="1" applyAlignment="1">
      <alignment horizontal="center" vertical="center" wrapText="1"/>
    </xf>
    <xf numFmtId="4" fontId="21" fillId="4" borderId="26" xfId="0" applyNumberFormat="1" applyFont="1" applyFill="1" applyBorder="1" applyAlignment="1">
      <alignment horizontal="center" vertical="center" wrapText="1"/>
    </xf>
    <xf numFmtId="4" fontId="6" fillId="4" borderId="0" xfId="0" applyNumberFormat="1" applyFont="1" applyFill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168" fontId="21" fillId="4" borderId="10" xfId="0" applyNumberFormat="1" applyFont="1" applyFill="1" applyBorder="1" applyAlignment="1">
      <alignment horizontal="center" vertical="center" wrapText="1"/>
    </xf>
    <xf numFmtId="167" fontId="6" fillId="4" borderId="10" xfId="0" applyNumberFormat="1" applyFont="1" applyFill="1" applyBorder="1" applyAlignment="1">
      <alignment horizontal="center" vertical="center" wrapText="1"/>
    </xf>
    <xf numFmtId="167" fontId="21" fillId="4" borderId="10" xfId="0" applyNumberFormat="1" applyFont="1" applyFill="1" applyBorder="1" applyAlignment="1">
      <alignment horizontal="center" vertical="center" wrapText="1"/>
    </xf>
    <xf numFmtId="4" fontId="21" fillId="4" borderId="28" xfId="0" applyNumberFormat="1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168" fontId="21" fillId="4" borderId="30" xfId="0" applyNumberFormat="1" applyFont="1" applyFill="1" applyBorder="1" applyAlignment="1">
      <alignment horizontal="center" vertical="center" wrapText="1"/>
    </xf>
    <xf numFmtId="167" fontId="6" fillId="4" borderId="30" xfId="0" applyNumberFormat="1" applyFont="1" applyFill="1" applyBorder="1" applyAlignment="1">
      <alignment horizontal="center" vertical="center" wrapText="1"/>
    </xf>
    <xf numFmtId="167" fontId="21" fillId="4" borderId="30" xfId="0" applyNumberFormat="1" applyFont="1" applyFill="1" applyBorder="1" applyAlignment="1">
      <alignment horizontal="center" vertical="center" wrapText="1"/>
    </xf>
    <xf numFmtId="4" fontId="21" fillId="4" borderId="31" xfId="0" applyNumberFormat="1" applyFont="1" applyFill="1" applyBorder="1" applyAlignment="1">
      <alignment horizontal="center" vertical="center" wrapText="1"/>
    </xf>
    <xf numFmtId="169" fontId="21" fillId="4" borderId="11" xfId="0" applyNumberFormat="1" applyFont="1" applyFill="1" applyBorder="1" applyAlignment="1">
      <alignment horizontal="center" vertical="center" wrapText="1"/>
    </xf>
    <xf numFmtId="167" fontId="21" fillId="4" borderId="11" xfId="0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0" fontId="0" fillId="0" borderId="2" xfId="0" applyBorder="1"/>
    <xf numFmtId="0" fontId="0" fillId="0" borderId="23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7" fillId="0" borderId="11" xfId="0" applyFont="1" applyBorder="1" applyAlignment="1">
      <alignment horizontal="center"/>
    </xf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26" fillId="0" borderId="2" xfId="0" applyFont="1" applyBorder="1"/>
    <xf numFmtId="0" fontId="30" fillId="0" borderId="23" xfId="0" applyFont="1" applyBorder="1" applyAlignment="1">
      <alignment horizontal="center"/>
    </xf>
    <xf numFmtId="0" fontId="26" fillId="0" borderId="23" xfId="0" applyFont="1" applyBorder="1" applyAlignment="1">
      <alignment horizontal="right"/>
    </xf>
    <xf numFmtId="0" fontId="26" fillId="0" borderId="8" xfId="0" applyFont="1" applyBorder="1"/>
    <xf numFmtId="0" fontId="32" fillId="0" borderId="0" xfId="0" applyFont="1"/>
    <xf numFmtId="166" fontId="31" fillId="0" borderId="33" xfId="0" applyNumberFormat="1" applyFont="1" applyBorder="1" applyAlignment="1">
      <alignment horizontal="center"/>
    </xf>
    <xf numFmtId="0" fontId="26" fillId="0" borderId="0" xfId="0" applyFont="1" applyAlignment="1">
      <alignment horizontal="right"/>
    </xf>
    <xf numFmtId="0" fontId="32" fillId="0" borderId="34" xfId="0" applyFont="1" applyBorder="1"/>
    <xf numFmtId="0" fontId="32" fillId="0" borderId="9" xfId="0" applyFont="1" applyBorder="1"/>
    <xf numFmtId="0" fontId="31" fillId="0" borderId="8" xfId="0" applyFont="1" applyBorder="1"/>
    <xf numFmtId="4" fontId="31" fillId="0" borderId="0" xfId="0" applyNumberFormat="1" applyFont="1" applyAlignment="1">
      <alignment horizontal="center"/>
    </xf>
    <xf numFmtId="170" fontId="31" fillId="0" borderId="0" xfId="0" applyNumberFormat="1" applyFont="1" applyAlignment="1">
      <alignment horizontal="left"/>
    </xf>
    <xf numFmtId="0" fontId="33" fillId="0" borderId="0" xfId="0" applyFont="1" applyAlignment="1">
      <alignment horizontal="right"/>
    </xf>
    <xf numFmtId="4" fontId="32" fillId="0" borderId="0" xfId="0" applyNumberFormat="1" applyFont="1"/>
    <xf numFmtId="170" fontId="33" fillId="0" borderId="9" xfId="0" applyNumberFormat="1" applyFont="1" applyBorder="1" applyAlignment="1">
      <alignment horizontal="left"/>
    </xf>
    <xf numFmtId="0" fontId="32" fillId="0" borderId="8" xfId="0" applyFont="1" applyBorder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49" fontId="32" fillId="0" borderId="8" xfId="0" applyNumberFormat="1" applyFont="1" applyBorder="1"/>
    <xf numFmtId="14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left" vertical="center"/>
    </xf>
    <xf numFmtId="39" fontId="33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4" fontId="32" fillId="0" borderId="33" xfId="0" applyNumberFormat="1" applyFont="1" applyBorder="1"/>
    <xf numFmtId="171" fontId="32" fillId="0" borderId="0" xfId="0" applyNumberFormat="1" applyFont="1"/>
    <xf numFmtId="0" fontId="33" fillId="0" borderId="0" xfId="0" applyFont="1" applyAlignment="1">
      <alignment horizontal="right" vertical="center"/>
    </xf>
    <xf numFmtId="4" fontId="33" fillId="0" borderId="38" xfId="0" applyNumberFormat="1" applyFont="1" applyBorder="1" applyAlignment="1">
      <alignment vertical="center"/>
    </xf>
    <xf numFmtId="4" fontId="26" fillId="0" borderId="0" xfId="0" applyNumberFormat="1" applyFont="1" applyAlignment="1">
      <alignment vertical="center"/>
    </xf>
    <xf numFmtId="4" fontId="32" fillId="0" borderId="0" xfId="0" applyNumberFormat="1" applyFont="1" applyAlignment="1">
      <alignment horizontal="right"/>
    </xf>
    <xf numFmtId="4" fontId="32" fillId="0" borderId="33" xfId="0" applyNumberFormat="1" applyFont="1" applyBorder="1" applyAlignment="1">
      <alignment horizontal="right"/>
    </xf>
    <xf numFmtId="4" fontId="33" fillId="0" borderId="38" xfId="0" applyNumberFormat="1" applyFont="1" applyBorder="1" applyAlignment="1">
      <alignment horizontal="right" vertical="center"/>
    </xf>
    <xf numFmtId="4" fontId="27" fillId="0" borderId="0" xfId="0" applyNumberFormat="1" applyFont="1" applyAlignment="1">
      <alignment horizontal="left"/>
    </xf>
    <xf numFmtId="4" fontId="26" fillId="0" borderId="0" xfId="0" applyNumberFormat="1" applyFont="1" applyAlignment="1">
      <alignment horizontal="center"/>
    </xf>
    <xf numFmtId="0" fontId="32" fillId="0" borderId="37" xfId="0" applyFont="1" applyBorder="1"/>
    <xf numFmtId="0" fontId="32" fillId="0" borderId="39" xfId="0" applyFont="1" applyBorder="1"/>
    <xf numFmtId="0" fontId="33" fillId="0" borderId="20" xfId="0" applyFont="1" applyBorder="1"/>
    <xf numFmtId="0" fontId="33" fillId="0" borderId="37" xfId="0" applyFont="1" applyBorder="1"/>
    <xf numFmtId="0" fontId="26" fillId="0" borderId="37" xfId="0" applyFont="1" applyBorder="1"/>
    <xf numFmtId="0" fontId="33" fillId="0" borderId="39" xfId="0" applyFont="1" applyBorder="1"/>
    <xf numFmtId="0" fontId="0" fillId="0" borderId="20" xfId="0" applyBorder="1"/>
    <xf numFmtId="0" fontId="0" fillId="0" borderId="37" xfId="0" applyBorder="1"/>
    <xf numFmtId="0" fontId="0" fillId="0" borderId="39" xfId="0" applyBorder="1"/>
    <xf numFmtId="0" fontId="31" fillId="0" borderId="0" xfId="0" applyFont="1" applyAlignment="1">
      <alignment horizontal="center"/>
    </xf>
    <xf numFmtId="4" fontId="26" fillId="0" borderId="0" xfId="0" applyNumberFormat="1" applyFont="1" applyAlignment="1">
      <alignment horizontal="right"/>
    </xf>
    <xf numFmtId="167" fontId="22" fillId="10" borderId="30" xfId="0" applyNumberFormat="1" applyFont="1" applyFill="1" applyBorder="1" applyAlignment="1">
      <alignment horizontal="center" vertical="center" wrapText="1"/>
    </xf>
    <xf numFmtId="167" fontId="7" fillId="4" borderId="28" xfId="0" applyNumberFormat="1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3" fontId="6" fillId="0" borderId="30" xfId="0" applyNumberFormat="1" applyFont="1" applyBorder="1" applyAlignment="1">
      <alignment horizontal="center" vertical="center" wrapText="1"/>
    </xf>
    <xf numFmtId="166" fontId="6" fillId="4" borderId="30" xfId="0" applyNumberFormat="1" applyFont="1" applyFill="1" applyBorder="1" applyAlignment="1">
      <alignment horizontal="center" vertical="center" wrapText="1"/>
    </xf>
    <xf numFmtId="4" fontId="21" fillId="0" borderId="30" xfId="0" applyNumberFormat="1" applyFont="1" applyBorder="1" applyAlignment="1">
      <alignment horizontal="center" vertical="center" wrapText="1"/>
    </xf>
    <xf numFmtId="167" fontId="22" fillId="4" borderId="30" xfId="0" applyNumberFormat="1" applyFont="1" applyFill="1" applyBorder="1" applyAlignment="1">
      <alignment horizontal="center" vertical="center" wrapText="1"/>
    </xf>
    <xf numFmtId="39" fontId="23" fillId="0" borderId="30" xfId="0" applyNumberFormat="1" applyFont="1" applyBorder="1" applyAlignment="1">
      <alignment horizontal="center" vertical="center" wrapText="1"/>
    </xf>
    <xf numFmtId="39" fontId="24" fillId="0" borderId="30" xfId="0" applyNumberFormat="1" applyFont="1" applyBorder="1" applyAlignment="1">
      <alignment horizontal="center" vertical="center" wrapText="1"/>
    </xf>
    <xf numFmtId="167" fontId="19" fillId="4" borderId="30" xfId="0" applyNumberFormat="1" applyFont="1" applyFill="1" applyBorder="1" applyAlignment="1">
      <alignment horizontal="center" vertical="center" wrapText="1"/>
    </xf>
    <xf numFmtId="167" fontId="25" fillId="4" borderId="30" xfId="0" applyNumberFormat="1" applyFont="1" applyFill="1" applyBorder="1" applyAlignment="1">
      <alignment horizontal="center" vertical="center" wrapText="1"/>
    </xf>
    <xf numFmtId="167" fontId="7" fillId="4" borderId="3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6" fillId="0" borderId="3" xfId="0" applyFont="1" applyBorder="1" applyAlignment="1">
      <alignment horizontal="right" vertical="center"/>
    </xf>
    <xf numFmtId="0" fontId="26" fillId="0" borderId="4" xfId="0" applyFont="1" applyBorder="1" applyAlignment="1">
      <alignment horizontal="right" vertical="center"/>
    </xf>
    <xf numFmtId="0" fontId="26" fillId="0" borderId="5" xfId="0" applyFont="1" applyBorder="1" applyAlignment="1">
      <alignment horizontal="right" vertic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3" xfId="0" applyFont="1" applyBorder="1" applyAlignment="1">
      <alignment horizontal="center" wrapText="1"/>
    </xf>
    <xf numFmtId="0" fontId="27" fillId="0" borderId="4" xfId="0" applyFont="1" applyBorder="1" applyAlignment="1">
      <alignment horizontal="center" wrapText="1"/>
    </xf>
    <xf numFmtId="0" fontId="27" fillId="0" borderId="5" xfId="0" applyFont="1" applyBorder="1" applyAlignment="1">
      <alignment horizontal="center" wrapText="1"/>
    </xf>
    <xf numFmtId="0" fontId="31" fillId="0" borderId="32" xfId="0" applyFont="1" applyBorder="1" applyAlignment="1">
      <alignment horizontal="center" wrapText="1"/>
    </xf>
    <xf numFmtId="3" fontId="31" fillId="0" borderId="32" xfId="0" applyNumberFormat="1" applyFont="1" applyBorder="1" applyAlignment="1">
      <alignment horizontal="center"/>
    </xf>
    <xf numFmtId="3" fontId="31" fillId="0" borderId="13" xfId="0" applyNumberFormat="1" applyFont="1" applyBorder="1" applyAlignment="1">
      <alignment horizontal="center"/>
    </xf>
    <xf numFmtId="0" fontId="31" fillId="0" borderId="34" xfId="0" applyFont="1" applyBorder="1" applyAlignment="1">
      <alignment horizontal="center" wrapText="1"/>
    </xf>
    <xf numFmtId="0" fontId="31" fillId="0" borderId="35" xfId="0" applyFont="1" applyBorder="1" applyAlignment="1">
      <alignment horizontal="center" wrapText="1"/>
    </xf>
    <xf numFmtId="0" fontId="31" fillId="0" borderId="36" xfId="0" applyFont="1" applyBorder="1" applyAlignment="1">
      <alignment horizontal="center" wrapText="1"/>
    </xf>
    <xf numFmtId="0" fontId="26" fillId="0" borderId="20" xfId="0" applyFont="1" applyBorder="1" applyAlignment="1">
      <alignment horizontal="center"/>
    </xf>
    <xf numFmtId="0" fontId="26" fillId="0" borderId="37" xfId="0" applyFont="1" applyBorder="1" applyAlignment="1">
      <alignment horizontal="center"/>
    </xf>
    <xf numFmtId="2" fontId="32" fillId="0" borderId="0" xfId="0" applyNumberFormat="1" applyFont="1" applyAlignment="1">
      <alignment horizontal="left" wrapText="1"/>
    </xf>
    <xf numFmtId="0" fontId="31" fillId="0" borderId="0" xfId="0" applyFont="1" applyAlignment="1">
      <alignment horizontal="right"/>
    </xf>
    <xf numFmtId="0" fontId="33" fillId="0" borderId="0" xfId="0" applyFont="1" applyAlignment="1">
      <alignment horizontal="center" wrapText="1"/>
    </xf>
    <xf numFmtId="0" fontId="26" fillId="0" borderId="0" xfId="0" applyFont="1" applyAlignment="1">
      <alignment horizontal="right" vertical="center"/>
    </xf>
    <xf numFmtId="0" fontId="26" fillId="0" borderId="8" xfId="0" applyFont="1" applyBorder="1" applyAlignment="1">
      <alignment horizontal="right" wrapText="1"/>
    </xf>
    <xf numFmtId="0" fontId="26" fillId="0" borderId="0" xfId="0" applyFont="1" applyAlignment="1">
      <alignment horizontal="right" wrapText="1"/>
    </xf>
    <xf numFmtId="0" fontId="34" fillId="0" borderId="0" xfId="0" applyFont="1" applyAlignment="1">
      <alignment horizontal="right" wrapText="1"/>
    </xf>
    <xf numFmtId="0" fontId="35" fillId="0" borderId="8" xfId="0" applyFont="1" applyBorder="1" applyAlignment="1">
      <alignment horizontal="center" wrapText="1"/>
    </xf>
    <xf numFmtId="0" fontId="35" fillId="0" borderId="0" xfId="0" applyFont="1" applyAlignment="1">
      <alignment horizontal="center" wrapText="1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36" fillId="0" borderId="0" xfId="0" applyFont="1" applyAlignment="1">
      <alignment horizontal="right" wrapText="1"/>
    </xf>
    <xf numFmtId="0" fontId="27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67" fontId="22" fillId="4" borderId="40" xfId="0" applyNumberFormat="1" applyFont="1" applyFill="1" applyBorder="1" applyAlignment="1">
      <alignment horizontal="center" vertical="center" wrapText="1"/>
    </xf>
    <xf numFmtId="167" fontId="22" fillId="10" borderId="40" xfId="0" applyNumberFormat="1" applyFont="1" applyFill="1" applyBorder="1" applyAlignment="1">
      <alignment horizontal="center" vertical="center" wrapText="1"/>
    </xf>
    <xf numFmtId="39" fontId="23" fillId="0" borderId="40" xfId="0" applyNumberFormat="1" applyFont="1" applyBorder="1" applyAlignment="1">
      <alignment horizontal="center" vertical="center" wrapText="1"/>
    </xf>
    <xf numFmtId="39" fontId="24" fillId="0" borderId="40" xfId="0" applyNumberFormat="1" applyFont="1" applyBorder="1" applyAlignment="1">
      <alignment horizontal="center" vertical="center" wrapText="1"/>
    </xf>
    <xf numFmtId="167" fontId="19" fillId="4" borderId="40" xfId="0" applyNumberFormat="1" applyFont="1" applyFill="1" applyBorder="1" applyAlignment="1">
      <alignment horizontal="center" vertical="center" wrapText="1"/>
    </xf>
    <xf numFmtId="167" fontId="25" fillId="4" borderId="40" xfId="0" applyNumberFormat="1" applyFont="1" applyFill="1" applyBorder="1" applyAlignment="1">
      <alignment horizontal="center" vertical="center" wrapText="1"/>
    </xf>
    <xf numFmtId="167" fontId="7" fillId="4" borderId="40" xfId="0" applyNumberFormat="1" applyFont="1" applyFill="1" applyBorder="1" applyAlignment="1">
      <alignment horizontal="center" vertical="center" wrapText="1"/>
    </xf>
    <xf numFmtId="167" fontId="21" fillId="0" borderId="14" xfId="0" applyNumberFormat="1" applyFont="1" applyBorder="1" applyAlignment="1">
      <alignment horizontal="center" vertical="center" wrapText="1"/>
    </xf>
    <xf numFmtId="167" fontId="21" fillId="0" borderId="3" xfId="0" applyNumberFormat="1" applyFont="1" applyBorder="1" applyAlignment="1">
      <alignment horizontal="center" vertical="center" wrapText="1"/>
    </xf>
    <xf numFmtId="167" fontId="21" fillId="10" borderId="11" xfId="0" applyNumberFormat="1" applyFont="1" applyFill="1" applyBorder="1" applyAlignment="1">
      <alignment horizontal="center" vertical="center" wrapText="1"/>
    </xf>
    <xf numFmtId="167" fontId="21" fillId="0" borderId="41" xfId="0" applyNumberFormat="1" applyFont="1" applyBorder="1" applyAlignment="1">
      <alignment horizontal="center" vertical="center" wrapText="1"/>
    </xf>
    <xf numFmtId="167" fontId="21" fillId="10" borderId="14" xfId="0" applyNumberFormat="1" applyFont="1" applyFill="1" applyBorder="1" applyAlignment="1">
      <alignment horizontal="center" vertical="center" wrapText="1"/>
    </xf>
    <xf numFmtId="167" fontId="19" fillId="0" borderId="14" xfId="0" applyNumberFormat="1" applyFont="1" applyBorder="1" applyAlignment="1">
      <alignment horizontal="center" vertical="center" wrapText="1"/>
    </xf>
    <xf numFmtId="167" fontId="19" fillId="4" borderId="14" xfId="0" applyNumberFormat="1" applyFont="1" applyFill="1" applyBorder="1" applyAlignment="1">
      <alignment horizontal="center" vertical="center" wrapText="1"/>
    </xf>
    <xf numFmtId="167" fontId="7" fillId="4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1</xdr:row>
      <xdr:rowOff>9525</xdr:rowOff>
    </xdr:from>
    <xdr:to>
      <xdr:col>2</xdr:col>
      <xdr:colOff>1190625</xdr:colOff>
      <xdr:row>3</xdr:row>
      <xdr:rowOff>200651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9625" y="264795"/>
          <a:ext cx="10668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57150</xdr:rowOff>
    </xdr:from>
    <xdr:to>
      <xdr:col>2</xdr:col>
      <xdr:colOff>914400</xdr:colOff>
      <xdr:row>3</xdr:row>
      <xdr:rowOff>29201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3875" y="312420"/>
          <a:ext cx="10668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1</xdr:row>
      <xdr:rowOff>9525</xdr:rowOff>
    </xdr:from>
    <xdr:to>
      <xdr:col>2</xdr:col>
      <xdr:colOff>1190625</xdr:colOff>
      <xdr:row>3</xdr:row>
      <xdr:rowOff>200651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9625" y="264795"/>
          <a:ext cx="10668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28575</xdr:rowOff>
    </xdr:from>
    <xdr:to>
      <xdr:col>3</xdr:col>
      <xdr:colOff>0</xdr:colOff>
      <xdr:row>4</xdr:row>
      <xdr:rowOff>28575</xdr:rowOff>
    </xdr:to>
    <xdr:pic>
      <xdr:nvPicPr>
        <xdr:cNvPr id="27725" name="Picture 1" descr="MAMIDEL C">
          <a:extLst>
            <a:ext uri="{FF2B5EF4-FFF2-40B4-BE49-F238E27FC236}">
              <a16:creationId xmlns:a16="http://schemas.microsoft.com/office/drawing/2014/main" id="{00000000-0008-0000-0700-00004D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975" y="28575"/>
          <a:ext cx="3514725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I35"/>
  <sheetViews>
    <sheetView tabSelected="1" view="pageBreakPreview" topLeftCell="A9" zoomScaleNormal="100" workbookViewId="0">
      <selection activeCell="G13" sqref="G13"/>
    </sheetView>
  </sheetViews>
  <sheetFormatPr baseColWidth="10" defaultColWidth="11.42578125" defaultRowHeight="14.25"/>
  <cols>
    <col min="1" max="1" width="6.140625" style="22" customWidth="1"/>
    <col min="2" max="2" width="4.140625" style="22" customWidth="1"/>
    <col min="3" max="3" width="21.85546875" style="22" customWidth="1"/>
    <col min="4" max="4" width="12" style="22" customWidth="1"/>
    <col min="5" max="5" width="13.42578125" style="22" customWidth="1"/>
    <col min="6" max="6" width="10.85546875" style="22" customWidth="1"/>
    <col min="7" max="7" width="15.5703125" style="22" customWidth="1"/>
    <col min="8" max="8" width="28.140625" style="22" customWidth="1"/>
    <col min="9" max="9" width="8.28515625" style="22" customWidth="1"/>
    <col min="10" max="10" width="12.7109375" style="22" customWidth="1"/>
    <col min="11" max="11" width="11.140625" style="22" customWidth="1"/>
    <col min="12" max="12" width="16.5703125" style="22" hidden="1" customWidth="1"/>
    <col min="13" max="14" width="11.7109375" style="22" customWidth="1"/>
    <col min="15" max="15" width="15.5703125" style="22" customWidth="1"/>
    <col min="16" max="16" width="10.140625" style="22" hidden="1" customWidth="1"/>
    <col min="17" max="17" width="13.140625" style="22" hidden="1" customWidth="1"/>
    <col min="18" max="18" width="9.42578125" style="22" hidden="1" customWidth="1"/>
    <col min="19" max="19" width="10.5703125" style="22" hidden="1" customWidth="1"/>
    <col min="20" max="20" width="12.7109375" style="22" customWidth="1"/>
    <col min="21" max="23" width="10.28515625" style="22" customWidth="1"/>
    <col min="24" max="24" width="10.7109375" style="22" customWidth="1"/>
    <col min="25" max="26" width="13.7109375" style="22" hidden="1" customWidth="1"/>
    <col min="27" max="27" width="10.7109375" style="22" hidden="1" customWidth="1"/>
    <col min="28" max="28" width="13.7109375" style="22" customWidth="1"/>
    <col min="29" max="30" width="13.28515625" style="22" customWidth="1"/>
    <col min="31" max="31" width="1.85546875" style="22" customWidth="1"/>
    <col min="32" max="32" width="15.85546875" style="22" customWidth="1"/>
    <col min="33" max="16384" width="11.42578125" style="22"/>
  </cols>
  <sheetData>
    <row r="1" spans="2:35" ht="20.100000000000001" customHeight="1"/>
    <row r="2" spans="2:35" ht="49.5" customHeight="1">
      <c r="D2" s="164" t="s">
        <v>0</v>
      </c>
      <c r="E2" s="164"/>
    </row>
    <row r="3" spans="2:35" ht="42.75" customHeight="1">
      <c r="D3" s="164"/>
      <c r="E3" s="164"/>
    </row>
    <row r="4" spans="2:35" ht="42.75" customHeight="1">
      <c r="D4" s="23"/>
      <c r="E4" s="23"/>
    </row>
    <row r="5" spans="2:35" ht="19.5" customHeight="1">
      <c r="C5" s="24" t="s">
        <v>1</v>
      </c>
    </row>
    <row r="6" spans="2:35" ht="20.100000000000001" customHeight="1">
      <c r="C6" s="145" t="s">
        <v>2</v>
      </c>
      <c r="D6" s="145"/>
      <c r="E6" s="145"/>
      <c r="F6" s="145"/>
      <c r="AF6" s="25" t="s">
        <v>3</v>
      </c>
    </row>
    <row r="7" spans="2:35" ht="36.75" customHeight="1">
      <c r="B7" s="146" t="s">
        <v>4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26"/>
      <c r="AF7" s="22">
        <v>487.11919999999998</v>
      </c>
    </row>
    <row r="8" spans="2:35" ht="15" customHeight="1"/>
    <row r="9" spans="2:35" ht="30" customHeight="1">
      <c r="B9" s="150" t="s">
        <v>5</v>
      </c>
      <c r="C9" s="152" t="s">
        <v>6</v>
      </c>
      <c r="D9" s="154" t="s">
        <v>7</v>
      </c>
      <c r="E9" s="154" t="s">
        <v>8</v>
      </c>
      <c r="F9" s="154" t="s">
        <v>9</v>
      </c>
      <c r="G9" s="154" t="s">
        <v>10</v>
      </c>
      <c r="H9" s="154" t="s">
        <v>11</v>
      </c>
      <c r="I9" s="154" t="s">
        <v>12</v>
      </c>
      <c r="J9" s="154" t="s">
        <v>13</v>
      </c>
      <c r="K9" s="154" t="s">
        <v>14</v>
      </c>
      <c r="L9" s="156" t="s">
        <v>15</v>
      </c>
      <c r="M9" s="154" t="s">
        <v>16</v>
      </c>
      <c r="N9" s="158" t="s">
        <v>130</v>
      </c>
      <c r="O9" s="158" t="s">
        <v>131</v>
      </c>
      <c r="P9" s="156" t="s">
        <v>18</v>
      </c>
      <c r="Q9" s="160" t="s">
        <v>19</v>
      </c>
      <c r="R9" s="156" t="s">
        <v>20</v>
      </c>
      <c r="S9" s="156" t="s">
        <v>21</v>
      </c>
      <c r="T9" s="154" t="s">
        <v>22</v>
      </c>
      <c r="U9" s="147" t="s">
        <v>23</v>
      </c>
      <c r="V9" s="148"/>
      <c r="W9" s="148"/>
      <c r="X9" s="148"/>
      <c r="Y9" s="148"/>
      <c r="Z9" s="148"/>
      <c r="AA9" s="148"/>
      <c r="AB9" s="149"/>
      <c r="AC9" s="162" t="s">
        <v>24</v>
      </c>
      <c r="AD9" s="28"/>
    </row>
    <row r="10" spans="2:35" ht="36.75" customHeight="1">
      <c r="B10" s="151"/>
      <c r="C10" s="153"/>
      <c r="D10" s="155"/>
      <c r="E10" s="155"/>
      <c r="F10" s="155"/>
      <c r="G10" s="155"/>
      <c r="H10" s="155"/>
      <c r="I10" s="155"/>
      <c r="J10" s="155"/>
      <c r="K10" s="155"/>
      <c r="L10" s="157"/>
      <c r="M10" s="155" t="s">
        <v>25</v>
      </c>
      <c r="N10" s="159"/>
      <c r="O10" s="159"/>
      <c r="P10" s="157"/>
      <c r="Q10" s="161"/>
      <c r="R10" s="157"/>
      <c r="S10" s="157"/>
      <c r="T10" s="155"/>
      <c r="U10" s="27" t="s">
        <v>26</v>
      </c>
      <c r="V10" s="27" t="s">
        <v>27</v>
      </c>
      <c r="W10" s="27" t="s">
        <v>28</v>
      </c>
      <c r="X10" s="27" t="s">
        <v>29</v>
      </c>
      <c r="Y10" s="27" t="s">
        <v>30</v>
      </c>
      <c r="Z10" s="27" t="s">
        <v>31</v>
      </c>
      <c r="AA10" s="27" t="s">
        <v>32</v>
      </c>
      <c r="AB10" s="29" t="s">
        <v>33</v>
      </c>
      <c r="AC10" s="163"/>
      <c r="AD10" s="28"/>
      <c r="AF10" s="43"/>
      <c r="AG10" s="31"/>
    </row>
    <row r="11" spans="2:35" ht="47.25" customHeight="1">
      <c r="B11" s="32">
        <v>1</v>
      </c>
      <c r="C11" s="32" t="s">
        <v>34</v>
      </c>
      <c r="D11" s="33">
        <v>16067033</v>
      </c>
      <c r="E11" s="33" t="s">
        <v>35</v>
      </c>
      <c r="F11" s="34">
        <v>45001</v>
      </c>
      <c r="G11" s="32" t="s">
        <v>36</v>
      </c>
      <c r="H11" s="34" t="s">
        <v>37</v>
      </c>
      <c r="I11" s="35">
        <f>ASISTENCIA!AA13</f>
        <v>30</v>
      </c>
      <c r="J11" s="36">
        <v>43.333333330000002</v>
      </c>
      <c r="K11" s="36">
        <f>J11*30</f>
        <v>1299.9999999000001</v>
      </c>
      <c r="L11" s="36"/>
      <c r="M11" s="37">
        <f>I11*J11</f>
        <v>1299.9999999000001</v>
      </c>
      <c r="N11" s="37">
        <f>130*AF7</f>
        <v>63325.495999999999</v>
      </c>
      <c r="O11" s="38">
        <f>(20*AF7)-M11</f>
        <v>8442.384000099999</v>
      </c>
      <c r="P11" s="38">
        <v>0</v>
      </c>
      <c r="Q11" s="39"/>
      <c r="R11" s="38">
        <f>ASISTENCIA!Z13</f>
        <v>0</v>
      </c>
      <c r="S11" s="38">
        <f>J11/8*R11</f>
        <v>0</v>
      </c>
      <c r="T11" s="37">
        <f>M11+N11+O11</f>
        <v>73067.88</v>
      </c>
      <c r="U11" s="40">
        <f>((J11*30*12)/52*4%*4)/2</f>
        <v>23.99999999815385</v>
      </c>
      <c r="V11" s="40">
        <f>(J11*30*12)/52*0.5%*4</f>
        <v>5.9999999995384625</v>
      </c>
      <c r="W11" s="40">
        <f>T11*1%</f>
        <v>730.67880000000002</v>
      </c>
      <c r="X11" s="41">
        <f>+T11*1.33%</f>
        <v>971.80280400000015</v>
      </c>
      <c r="Y11" s="41">
        <v>0</v>
      </c>
      <c r="Z11" s="41">
        <v>0</v>
      </c>
      <c r="AA11" s="41">
        <v>0</v>
      </c>
      <c r="AB11" s="40">
        <f t="shared" ref="AB11:AB13" si="0">U11+V11+W11+X11</f>
        <v>1732.4816039976924</v>
      </c>
      <c r="AC11" s="42">
        <f>T11-AB11</f>
        <v>71335.398396002318</v>
      </c>
      <c r="AD11" s="43"/>
      <c r="AF11" s="44"/>
      <c r="AG11" s="44"/>
      <c r="AH11" s="44"/>
      <c r="AI11" s="44"/>
    </row>
    <row r="12" spans="2:35" ht="47.25" customHeight="1">
      <c r="B12" s="32">
        <f>+B11+1</f>
        <v>2</v>
      </c>
      <c r="C12" s="32" t="s">
        <v>38</v>
      </c>
      <c r="D12" s="33">
        <v>8326409</v>
      </c>
      <c r="E12" s="33" t="s">
        <v>39</v>
      </c>
      <c r="F12" s="45">
        <v>45001</v>
      </c>
      <c r="G12" s="32" t="s">
        <v>40</v>
      </c>
      <c r="H12" s="45" t="s">
        <v>41</v>
      </c>
      <c r="I12" s="35">
        <f>ASISTENCIA!AA14</f>
        <v>30</v>
      </c>
      <c r="J12" s="36">
        <f>1300/30</f>
        <v>43.333333333333336</v>
      </c>
      <c r="K12" s="36">
        <f t="shared" ref="K12:K15" si="1">J12*30</f>
        <v>1300</v>
      </c>
      <c r="L12" s="36"/>
      <c r="M12" s="37">
        <f t="shared" ref="M12:M15" si="2">I12*J12</f>
        <v>1300</v>
      </c>
      <c r="N12" s="37">
        <f>130*AF7</f>
        <v>63325.495999999999</v>
      </c>
      <c r="O12" s="38">
        <f>(20*AF7)-M12</f>
        <v>8442.384</v>
      </c>
      <c r="P12" s="38">
        <f>AG12</f>
        <v>0</v>
      </c>
      <c r="Q12" s="39"/>
      <c r="R12" s="38">
        <f>ASISTENCIA!Z14</f>
        <v>0</v>
      </c>
      <c r="S12" s="38">
        <f>J12/8*R12</f>
        <v>0</v>
      </c>
      <c r="T12" s="37">
        <f t="shared" ref="T12:T15" si="3">M12+N12+O12</f>
        <v>73067.88</v>
      </c>
      <c r="U12" s="40">
        <f>((J12*30*12)/52*4%*4)/2</f>
        <v>24</v>
      </c>
      <c r="V12" s="40">
        <f>(J12*30*12)/52*0.5%*4</f>
        <v>6</v>
      </c>
      <c r="W12" s="40">
        <f t="shared" ref="W12:W15" si="4">T12*1%</f>
        <v>730.67880000000002</v>
      </c>
      <c r="X12" s="41">
        <f>1.04%*T12</f>
        <v>759.90595200000007</v>
      </c>
      <c r="Y12" s="41">
        <v>0</v>
      </c>
      <c r="Z12" s="41">
        <v>0</v>
      </c>
      <c r="AA12" s="41">
        <v>0</v>
      </c>
      <c r="AB12" s="40">
        <f t="shared" si="0"/>
        <v>1520.5847520000002</v>
      </c>
      <c r="AC12" s="42">
        <f t="shared" ref="AC12:AC15" si="5">T12-AB12</f>
        <v>71547.295248000009</v>
      </c>
      <c r="AD12" s="43"/>
      <c r="AF12" s="44"/>
      <c r="AG12" s="44"/>
      <c r="AH12" s="44"/>
      <c r="AI12" s="44"/>
    </row>
    <row r="13" spans="2:35" ht="47.25" customHeight="1">
      <c r="B13" s="32">
        <f t="shared" ref="B13:B15" si="6">+B12+1</f>
        <v>3</v>
      </c>
      <c r="C13" s="32" t="s">
        <v>42</v>
      </c>
      <c r="D13" s="33">
        <v>8234036</v>
      </c>
      <c r="E13" s="33" t="s">
        <v>43</v>
      </c>
      <c r="F13" s="45">
        <v>45218</v>
      </c>
      <c r="G13" s="32" t="s">
        <v>40</v>
      </c>
      <c r="H13" s="45" t="s">
        <v>41</v>
      </c>
      <c r="I13" s="35">
        <f>ASISTENCIA!AA15</f>
        <v>30</v>
      </c>
      <c r="J13" s="36">
        <f>1300/30</f>
        <v>43.333333333333336</v>
      </c>
      <c r="K13" s="36">
        <f t="shared" si="1"/>
        <v>1300</v>
      </c>
      <c r="L13" s="36"/>
      <c r="M13" s="37">
        <f t="shared" si="2"/>
        <v>1300</v>
      </c>
      <c r="N13" s="37">
        <f>130*AF7</f>
        <v>63325.495999999999</v>
      </c>
      <c r="O13" s="38">
        <f>(20*AF7)-M13</f>
        <v>8442.384</v>
      </c>
      <c r="P13" s="38"/>
      <c r="Q13" s="39"/>
      <c r="R13" s="38"/>
      <c r="S13" s="38"/>
      <c r="T13" s="37">
        <f t="shared" si="3"/>
        <v>73067.88</v>
      </c>
      <c r="U13" s="40">
        <f>((J13*30*12)/52*4%*4)/2</f>
        <v>24</v>
      </c>
      <c r="V13" s="40">
        <f>(J13*30*12)/52*0.5%*4</f>
        <v>6</v>
      </c>
      <c r="W13" s="40">
        <f t="shared" si="4"/>
        <v>730.67880000000002</v>
      </c>
      <c r="X13" s="41">
        <f>+T13*1.72%</f>
        <v>1256.7675360000001</v>
      </c>
      <c r="Y13" s="41"/>
      <c r="Z13" s="41"/>
      <c r="AA13" s="41"/>
      <c r="AB13" s="40">
        <f t="shared" si="0"/>
        <v>2017.446336</v>
      </c>
      <c r="AC13" s="42">
        <f t="shared" si="5"/>
        <v>71050.433664000011</v>
      </c>
      <c r="AD13" s="43"/>
      <c r="AF13" s="44"/>
      <c r="AG13" s="44"/>
      <c r="AH13" s="44"/>
      <c r="AI13" s="44"/>
    </row>
    <row r="14" spans="2:35" ht="47.25" customHeight="1">
      <c r="B14" s="32">
        <f t="shared" si="6"/>
        <v>4</v>
      </c>
      <c r="C14" s="32" t="s">
        <v>44</v>
      </c>
      <c r="D14" s="33">
        <v>19316663</v>
      </c>
      <c r="E14" s="33" t="s">
        <v>45</v>
      </c>
      <c r="F14" s="45">
        <v>45839</v>
      </c>
      <c r="G14" s="32" t="s">
        <v>132</v>
      </c>
      <c r="H14" s="45" t="s">
        <v>47</v>
      </c>
      <c r="I14" s="35">
        <f>ASISTENCIA!AA16</f>
        <v>30</v>
      </c>
      <c r="J14" s="36">
        <f>1300/30</f>
        <v>43.333333333333336</v>
      </c>
      <c r="K14" s="36">
        <f t="shared" si="1"/>
        <v>1300</v>
      </c>
      <c r="L14" s="36"/>
      <c r="M14" s="37">
        <f t="shared" si="2"/>
        <v>1300</v>
      </c>
      <c r="N14" s="37">
        <f>130*AF7</f>
        <v>63325.495999999999</v>
      </c>
      <c r="O14" s="38">
        <f>(20*AF7)-M14</f>
        <v>8442.384</v>
      </c>
      <c r="P14" s="38"/>
      <c r="Q14" s="39"/>
      <c r="R14" s="38"/>
      <c r="S14" s="38"/>
      <c r="T14" s="37">
        <f t="shared" si="3"/>
        <v>73067.88</v>
      </c>
      <c r="U14" s="40">
        <f>((J14*30*12)/52*4%*4)/2</f>
        <v>24</v>
      </c>
      <c r="V14" s="40">
        <f>(J14*30*12)/52*0.5%*4</f>
        <v>6</v>
      </c>
      <c r="W14" s="40">
        <f t="shared" si="4"/>
        <v>730.67880000000002</v>
      </c>
      <c r="X14" s="41">
        <f>+T14*1.3%</f>
        <v>949.88244000000009</v>
      </c>
      <c r="Y14" s="41"/>
      <c r="Z14" s="41"/>
      <c r="AA14" s="41"/>
      <c r="AB14" s="40">
        <f t="shared" ref="AB14:AB15" si="7">U14+V14+W14+X14</f>
        <v>1710.56124</v>
      </c>
      <c r="AC14" s="42">
        <f t="shared" si="5"/>
        <v>71357.318760000009</v>
      </c>
      <c r="AD14" s="43"/>
      <c r="AF14" s="44"/>
      <c r="AG14" s="44"/>
      <c r="AH14" s="44"/>
      <c r="AI14" s="44"/>
    </row>
    <row r="15" spans="2:35" ht="43.5" customHeight="1" thickBot="1">
      <c r="B15" s="32">
        <f t="shared" si="6"/>
        <v>5</v>
      </c>
      <c r="C15" s="32" t="s">
        <v>48</v>
      </c>
      <c r="D15" s="33">
        <v>31311552</v>
      </c>
      <c r="E15" s="33" t="s">
        <v>49</v>
      </c>
      <c r="F15" s="45">
        <v>45839</v>
      </c>
      <c r="G15" s="32" t="s">
        <v>50</v>
      </c>
      <c r="H15" s="45" t="s">
        <v>47</v>
      </c>
      <c r="I15" s="35">
        <f>ASISTENCIA!AA17</f>
        <v>30</v>
      </c>
      <c r="J15" s="209">
        <f>1300/30</f>
        <v>43.333333333333336</v>
      </c>
      <c r="K15" s="209">
        <f t="shared" si="1"/>
        <v>1300</v>
      </c>
      <c r="L15" s="209"/>
      <c r="M15" s="210">
        <f t="shared" si="2"/>
        <v>1300</v>
      </c>
      <c r="N15" s="210">
        <f>130*AF7</f>
        <v>63325.495999999999</v>
      </c>
      <c r="O15" s="211">
        <f>+(20*AF7)-M15</f>
        <v>8442.384</v>
      </c>
      <c r="P15" s="211">
        <f>AG15</f>
        <v>0</v>
      </c>
      <c r="Q15" s="212"/>
      <c r="R15" s="211">
        <f>ASISTENCIA!Z15</f>
        <v>0</v>
      </c>
      <c r="S15" s="211">
        <f>J15/8*R15</f>
        <v>0</v>
      </c>
      <c r="T15" s="210">
        <f t="shared" si="3"/>
        <v>73067.88</v>
      </c>
      <c r="U15" s="213">
        <f>((J15*30*12)/52*4%*4)/2</f>
        <v>24</v>
      </c>
      <c r="V15" s="213">
        <f>(J15*30*12)/52*0.5%*4</f>
        <v>6</v>
      </c>
      <c r="W15" s="40">
        <f t="shared" si="4"/>
        <v>730.67880000000002</v>
      </c>
      <c r="X15" s="214">
        <f>+T15*1.67%</f>
        <v>1220.233596</v>
      </c>
      <c r="Y15" s="214">
        <v>0</v>
      </c>
      <c r="Z15" s="214">
        <v>0</v>
      </c>
      <c r="AA15" s="214">
        <v>0</v>
      </c>
      <c r="AB15" s="213">
        <f t="shared" si="7"/>
        <v>1980.9123960000002</v>
      </c>
      <c r="AC15" s="215">
        <f t="shared" si="5"/>
        <v>71086.967604000005</v>
      </c>
      <c r="AD15" s="43"/>
      <c r="AF15" s="44"/>
      <c r="AG15" s="44"/>
      <c r="AH15" s="44"/>
      <c r="AI15" s="44"/>
    </row>
    <row r="16" spans="2:35" ht="37.5" customHeight="1" thickBot="1">
      <c r="I16" s="46"/>
      <c r="J16" s="216">
        <f t="shared" ref="J16:O16" si="8">SUM(J11:J15)</f>
        <v>216.66666666333336</v>
      </c>
      <c r="K16" s="216">
        <f t="shared" si="8"/>
        <v>6499.9999999000001</v>
      </c>
      <c r="L16" s="217">
        <f t="shared" si="8"/>
        <v>0</v>
      </c>
      <c r="M16" s="218">
        <f t="shared" si="8"/>
        <v>6499.9999999000001</v>
      </c>
      <c r="N16" s="218">
        <f t="shared" si="8"/>
        <v>316627.48</v>
      </c>
      <c r="O16" s="219">
        <f t="shared" si="8"/>
        <v>42211.920000099992</v>
      </c>
      <c r="P16" s="216">
        <f t="shared" ref="P16:S16" si="9">SUM(P11:P12)</f>
        <v>0</v>
      </c>
      <c r="Q16" s="216">
        <f t="shared" si="9"/>
        <v>0</v>
      </c>
      <c r="R16" s="216">
        <f t="shared" si="9"/>
        <v>0</v>
      </c>
      <c r="S16" s="216">
        <f t="shared" si="9"/>
        <v>0</v>
      </c>
      <c r="T16" s="220">
        <f>SUM(T11:T15)</f>
        <v>365339.4</v>
      </c>
      <c r="U16" s="221">
        <f t="shared" ref="U16:X16" si="10">SUM(U11:U15)</f>
        <v>119.99999999815385</v>
      </c>
      <c r="V16" s="221">
        <f t="shared" si="10"/>
        <v>29.999999999538463</v>
      </c>
      <c r="W16" s="221">
        <f t="shared" si="10"/>
        <v>3653.3940000000002</v>
      </c>
      <c r="X16" s="221">
        <f t="shared" si="10"/>
        <v>5158.5923280000006</v>
      </c>
      <c r="Y16" s="221">
        <f>SUM(Y11:Y12)</f>
        <v>0</v>
      </c>
      <c r="Z16" s="221">
        <f>SUM(Z11:Z12)</f>
        <v>0</v>
      </c>
      <c r="AA16" s="221">
        <f>SUM(AA11:AA12)</f>
        <v>0</v>
      </c>
      <c r="AB16" s="222">
        <f>SUM(AB11:AB15)</f>
        <v>8961.9863279976926</v>
      </c>
      <c r="AC16" s="223">
        <f>SUM(AC11:AC15)</f>
        <v>356377.41367200232</v>
      </c>
    </row>
    <row r="17" spans="6:30" ht="20.100000000000001" customHeight="1">
      <c r="I17" s="46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6:30">
      <c r="O18" s="56"/>
      <c r="P18" s="56"/>
      <c r="Q18" s="56"/>
      <c r="R18" s="56"/>
      <c r="S18" s="56"/>
    </row>
    <row r="19" spans="6:30" ht="40.5">
      <c r="G19" s="22" t="s">
        <v>51</v>
      </c>
      <c r="H19" s="57" t="s">
        <v>52</v>
      </c>
      <c r="I19" s="57" t="s">
        <v>53</v>
      </c>
      <c r="J19" s="27" t="s">
        <v>54</v>
      </c>
      <c r="K19" s="27"/>
      <c r="L19" s="58"/>
      <c r="M19" s="58" t="s">
        <v>53</v>
      </c>
      <c r="N19" s="58"/>
      <c r="O19" s="27" t="s">
        <v>55</v>
      </c>
      <c r="P19" s="58" t="s">
        <v>53</v>
      </c>
      <c r="Q19" s="27" t="s">
        <v>56</v>
      </c>
      <c r="R19" s="27" t="s">
        <v>53</v>
      </c>
      <c r="S19" s="27" t="s">
        <v>57</v>
      </c>
      <c r="T19" s="58" t="s">
        <v>58</v>
      </c>
      <c r="U19" s="27" t="s">
        <v>59</v>
      </c>
      <c r="V19" s="27" t="s">
        <v>60</v>
      </c>
      <c r="W19" s="46"/>
      <c r="X19" s="46"/>
      <c r="Y19" s="46"/>
      <c r="Z19" s="46"/>
      <c r="AA19" s="59"/>
      <c r="AB19" s="55"/>
    </row>
    <row r="20" spans="6:30" ht="25.5" customHeight="1">
      <c r="F20" s="60"/>
      <c r="H20" s="61" t="str">
        <f>C11</f>
        <v>DAIRILYS DEL CARMEN GUAREGUA CHAGUAN</v>
      </c>
      <c r="I20" s="62"/>
      <c r="J20" s="63">
        <f>((J11)+(115%*J11))/8*I20</f>
        <v>0</v>
      </c>
      <c r="K20" s="63"/>
      <c r="L20" s="63"/>
      <c r="M20" s="62">
        <v>0</v>
      </c>
      <c r="N20" s="62"/>
      <c r="O20" s="63">
        <f>((J11)+(115%*J11))/8*M20</f>
        <v>0</v>
      </c>
      <c r="P20" s="62">
        <v>0</v>
      </c>
      <c r="Q20" s="63">
        <f>(J11/8*(90/100)+(J11/8))*P20</f>
        <v>0</v>
      </c>
      <c r="R20" s="62">
        <v>0</v>
      </c>
      <c r="S20" s="63">
        <f>(J11/8*(115/100)+(J11/8))*R20</f>
        <v>0</v>
      </c>
      <c r="T20" s="64">
        <f>(J20+O20+Q20+S20)/7</f>
        <v>0</v>
      </c>
      <c r="U20" s="62">
        <f>I20+M20+P20+R20</f>
        <v>0</v>
      </c>
      <c r="V20" s="65">
        <f>J20+O20+Q20+S20+T20</f>
        <v>0</v>
      </c>
      <c r="AA20" s="66"/>
      <c r="AC20" s="22">
        <f>73067.88*5</f>
        <v>365339.4</v>
      </c>
    </row>
    <row r="21" spans="6:30" ht="25.5" customHeight="1">
      <c r="H21" s="67" t="str">
        <f>C12</f>
        <v>EMILIO JOSÉ PINTO DOMIGUEZ</v>
      </c>
      <c r="I21" s="68"/>
      <c r="J21" s="69">
        <f>((J12)+(115%*J12))/8*I21</f>
        <v>0</v>
      </c>
      <c r="K21" s="69"/>
      <c r="L21" s="69"/>
      <c r="M21" s="68">
        <v>0</v>
      </c>
      <c r="N21" s="68"/>
      <c r="O21" s="69">
        <f>((J12)+(115%*J12))/8*M21</f>
        <v>0</v>
      </c>
      <c r="P21" s="68">
        <v>0</v>
      </c>
      <c r="Q21" s="69">
        <f>(J12/8*(90/100)+(J12/8))*P21</f>
        <v>0</v>
      </c>
      <c r="R21" s="68">
        <v>0</v>
      </c>
      <c r="S21" s="69">
        <f>(J12/8*(115/100)+(J12/8))*R21</f>
        <v>0</v>
      </c>
      <c r="T21" s="70">
        <f>(J21+O21+Q21+S21)/7</f>
        <v>0</v>
      </c>
      <c r="U21" s="68">
        <f>I21+M21+P21+R21</f>
        <v>0</v>
      </c>
      <c r="V21" s="71">
        <f>J21+O21+Q21+S21+T21</f>
        <v>0</v>
      </c>
      <c r="AA21" s="66"/>
      <c r="AC21" s="44">
        <f>146135.76*2</f>
        <v>292271.52</v>
      </c>
    </row>
    <row r="22" spans="6:30" ht="25.5" customHeight="1">
      <c r="H22" s="67" t="str">
        <f t="shared" ref="H22:H25" si="11">C13</f>
        <v>JESÚS RAFAEL ARAY CAGUANA</v>
      </c>
      <c r="I22" s="68"/>
      <c r="J22" s="69">
        <f t="shared" ref="J22:J25" si="12">((J13)+(115%*J13))/8*I22</f>
        <v>0</v>
      </c>
      <c r="K22" s="69"/>
      <c r="L22" s="69"/>
      <c r="M22" s="68">
        <v>0</v>
      </c>
      <c r="N22" s="68"/>
      <c r="O22" s="69">
        <f t="shared" ref="O22:O25" si="13">((J13)+(115%*J13))/8*M22</f>
        <v>0</v>
      </c>
      <c r="P22" s="68">
        <v>0</v>
      </c>
      <c r="Q22" s="69">
        <f t="shared" ref="Q22:Q25" si="14">(J13/8*(90/100)+(J13/8))*P22</f>
        <v>0</v>
      </c>
      <c r="R22" s="68">
        <v>0</v>
      </c>
      <c r="S22" s="69">
        <f t="shared" ref="S22:S25" si="15">(J13/8*(115/100)+(J13/8))*R22</f>
        <v>0</v>
      </c>
      <c r="T22" s="70">
        <f t="shared" ref="T22:T25" si="16">(J22+O22+Q22+S22)/7</f>
        <v>0</v>
      </c>
      <c r="U22" s="68">
        <f t="shared" ref="U22:U25" si="17">I22+M22+P22+R22</f>
        <v>0</v>
      </c>
      <c r="V22" s="71">
        <f t="shared" ref="V22:V25" si="18">J22+O22+Q22+S22+T22</f>
        <v>0</v>
      </c>
      <c r="AA22" s="66"/>
      <c r="AC22" s="44">
        <f>+AC20+AC21</f>
        <v>657610.92000000004</v>
      </c>
    </row>
    <row r="23" spans="6:30" ht="25.5" customHeight="1">
      <c r="H23" s="67" t="str">
        <f t="shared" si="11"/>
        <v>THEISY DEL CARMEN NADALES LOPEZ</v>
      </c>
      <c r="I23" s="68"/>
      <c r="J23" s="69">
        <f t="shared" si="12"/>
        <v>0</v>
      </c>
      <c r="K23" s="69"/>
      <c r="L23" s="69"/>
      <c r="M23" s="68">
        <v>0</v>
      </c>
      <c r="N23" s="68"/>
      <c r="O23" s="69">
        <f t="shared" si="13"/>
        <v>0</v>
      </c>
      <c r="P23" s="68">
        <v>0</v>
      </c>
      <c r="Q23" s="69">
        <f t="shared" si="14"/>
        <v>0</v>
      </c>
      <c r="R23" s="68">
        <v>0</v>
      </c>
      <c r="S23" s="69">
        <f t="shared" si="15"/>
        <v>0</v>
      </c>
      <c r="T23" s="70">
        <f t="shared" si="16"/>
        <v>0</v>
      </c>
      <c r="U23" s="68">
        <f t="shared" si="17"/>
        <v>0</v>
      </c>
      <c r="V23" s="71">
        <f t="shared" si="18"/>
        <v>0</v>
      </c>
      <c r="X23" s="44"/>
      <c r="AA23" s="66"/>
      <c r="AC23" s="44">
        <f>876814.57-AC22</f>
        <v>219203.64999999991</v>
      </c>
    </row>
    <row r="24" spans="6:30" ht="25.5" customHeight="1">
      <c r="H24" s="67" t="str">
        <f t="shared" si="11"/>
        <v xml:space="preserve"> MARIA VICTORIA GUAITA CANELON</v>
      </c>
      <c r="I24" s="68"/>
      <c r="J24" s="69">
        <f t="shared" si="12"/>
        <v>0</v>
      </c>
      <c r="K24" s="69"/>
      <c r="L24" s="69"/>
      <c r="M24" s="68">
        <v>0</v>
      </c>
      <c r="N24" s="68"/>
      <c r="O24" s="69">
        <f t="shared" si="13"/>
        <v>0</v>
      </c>
      <c r="P24" s="68">
        <v>0</v>
      </c>
      <c r="Q24" s="69">
        <f t="shared" si="14"/>
        <v>0</v>
      </c>
      <c r="R24" s="68">
        <v>0</v>
      </c>
      <c r="S24" s="69">
        <f t="shared" si="15"/>
        <v>0</v>
      </c>
      <c r="T24" s="70">
        <f t="shared" si="16"/>
        <v>0</v>
      </c>
      <c r="U24" s="68">
        <f t="shared" si="17"/>
        <v>0</v>
      </c>
      <c r="V24" s="71">
        <f t="shared" si="18"/>
        <v>0</v>
      </c>
      <c r="AA24" s="66"/>
    </row>
    <row r="25" spans="6:30" ht="20.100000000000001" customHeight="1">
      <c r="H25" s="72">
        <f t="shared" si="11"/>
        <v>0</v>
      </c>
      <c r="I25" s="73"/>
      <c r="J25" s="74">
        <f t="shared" si="12"/>
        <v>0</v>
      </c>
      <c r="K25" s="74"/>
      <c r="L25" s="74"/>
      <c r="M25" s="73">
        <v>0</v>
      </c>
      <c r="N25" s="73"/>
      <c r="O25" s="74">
        <f t="shared" si="13"/>
        <v>0</v>
      </c>
      <c r="P25" s="73">
        <v>0</v>
      </c>
      <c r="Q25" s="74">
        <f t="shared" si="14"/>
        <v>0</v>
      </c>
      <c r="R25" s="73">
        <v>0</v>
      </c>
      <c r="S25" s="74">
        <f t="shared" si="15"/>
        <v>0</v>
      </c>
      <c r="T25" s="75">
        <f t="shared" si="16"/>
        <v>0</v>
      </c>
      <c r="U25" s="73">
        <f t="shared" si="17"/>
        <v>0</v>
      </c>
      <c r="V25" s="76">
        <f t="shared" si="18"/>
        <v>0</v>
      </c>
      <c r="AA25" s="66"/>
    </row>
    <row r="26" spans="6:30" ht="20.100000000000001" customHeight="1">
      <c r="I26" s="77">
        <f>SUM(I20:I21)</f>
        <v>0</v>
      </c>
      <c r="J26" s="78">
        <f>SUM(J20:J21)</f>
        <v>0</v>
      </c>
      <c r="K26" s="78"/>
      <c r="L26" s="78"/>
      <c r="M26" s="77">
        <f t="shared" ref="M26:V26" si="19">SUM(M20:M21)</f>
        <v>0</v>
      </c>
      <c r="N26" s="77"/>
      <c r="O26" s="78">
        <f t="shared" si="19"/>
        <v>0</v>
      </c>
      <c r="P26" s="77">
        <f t="shared" si="19"/>
        <v>0</v>
      </c>
      <c r="Q26" s="78">
        <f t="shared" si="19"/>
        <v>0</v>
      </c>
      <c r="R26" s="77">
        <f t="shared" si="19"/>
        <v>0</v>
      </c>
      <c r="S26" s="78">
        <f t="shared" si="19"/>
        <v>0</v>
      </c>
      <c r="T26" s="78">
        <f t="shared" si="19"/>
        <v>0</v>
      </c>
      <c r="U26" s="77">
        <f t="shared" si="19"/>
        <v>0</v>
      </c>
      <c r="V26" s="78">
        <f t="shared" si="19"/>
        <v>0</v>
      </c>
      <c r="W26" s="79"/>
      <c r="X26" s="79"/>
      <c r="Y26" s="79"/>
      <c r="Z26" s="79"/>
      <c r="AA26" s="79"/>
      <c r="AB26" s="79"/>
    </row>
    <row r="27" spans="6:30">
      <c r="W27" s="46"/>
      <c r="X27" s="46"/>
      <c r="Y27" s="46"/>
      <c r="Z27" s="46"/>
    </row>
    <row r="29" spans="6:30">
      <c r="J29" s="44"/>
      <c r="K29" s="44"/>
      <c r="L29" s="44"/>
    </row>
    <row r="30" spans="6:30">
      <c r="I30" s="30"/>
      <c r="J30" s="30"/>
      <c r="K30" s="30"/>
      <c r="L30" s="30"/>
      <c r="M30" s="30"/>
      <c r="N30" s="30"/>
    </row>
    <row r="31" spans="6:30">
      <c r="I31" s="30"/>
      <c r="J31" s="30"/>
      <c r="K31" s="44"/>
      <c r="L31" s="44"/>
    </row>
    <row r="32" spans="6:30">
      <c r="I32" s="44"/>
      <c r="J32" s="44"/>
      <c r="K32" s="44"/>
      <c r="L32" s="44"/>
      <c r="M32" s="44"/>
      <c r="N32" s="44"/>
      <c r="O32" s="44"/>
      <c r="P32" s="44"/>
      <c r="Q32" s="44"/>
    </row>
    <row r="33" spans="9:21">
      <c r="I33" s="44"/>
      <c r="J33" s="44"/>
      <c r="K33" s="44"/>
      <c r="L33" s="44"/>
      <c r="M33" s="44"/>
      <c r="N33" s="44"/>
      <c r="O33" s="44"/>
      <c r="P33" s="44"/>
      <c r="Q33" s="44"/>
      <c r="U33" s="44"/>
    </row>
    <row r="34" spans="9:21">
      <c r="I34" s="44"/>
      <c r="J34" s="44"/>
      <c r="K34" s="44"/>
      <c r="L34" s="44"/>
      <c r="M34" s="44"/>
      <c r="N34" s="44"/>
      <c r="O34" s="44"/>
      <c r="P34" s="44"/>
      <c r="Q34" s="44"/>
    </row>
    <row r="35" spans="9:21">
      <c r="J35" s="44"/>
      <c r="K35" s="44"/>
      <c r="L35" s="44"/>
      <c r="M35" s="44"/>
      <c r="N35" s="44"/>
    </row>
  </sheetData>
  <mergeCells count="24">
    <mergeCell ref="AC9:AC10"/>
    <mergeCell ref="D2:E3"/>
    <mergeCell ref="N9:N10"/>
    <mergeCell ref="P9:P10"/>
    <mergeCell ref="Q9:Q10"/>
    <mergeCell ref="R9:R10"/>
    <mergeCell ref="S9:S10"/>
    <mergeCell ref="T9:T10"/>
    <mergeCell ref="C6:F6"/>
    <mergeCell ref="B7:AC7"/>
    <mergeCell ref="U9:AB9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O9:O10"/>
  </mergeCells>
  <printOptions horizontalCentered="1" verticalCentered="1"/>
  <pageMargins left="0.43307086614173201" right="0.39370078740157499" top="0.31496062992126" bottom="0.39370078740157499" header="0" footer="0"/>
  <pageSetup scale="46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G29"/>
  <sheetViews>
    <sheetView view="pageBreakPreview" topLeftCell="G4" zoomScaleNormal="100" workbookViewId="0">
      <selection activeCell="W11" sqref="W11"/>
    </sheetView>
  </sheetViews>
  <sheetFormatPr baseColWidth="10" defaultColWidth="11.42578125" defaultRowHeight="14.25"/>
  <cols>
    <col min="1" max="1" width="6" style="22" customWidth="1"/>
    <col min="2" max="2" width="4.140625" style="22" customWidth="1"/>
    <col min="3" max="3" width="20.5703125" style="22" customWidth="1"/>
    <col min="4" max="4" width="10.42578125" style="22" customWidth="1"/>
    <col min="5" max="5" width="14.85546875" style="22" customWidth="1"/>
    <col min="6" max="6" width="10.85546875" style="22" customWidth="1"/>
    <col min="7" max="7" width="15.5703125" style="22" customWidth="1"/>
    <col min="8" max="8" width="29.28515625" style="22" customWidth="1"/>
    <col min="9" max="9" width="8.28515625" style="22" customWidth="1"/>
    <col min="10" max="10" width="12.7109375" style="22" customWidth="1"/>
    <col min="11" max="11" width="11.140625" style="22" customWidth="1"/>
    <col min="12" max="12" width="16.5703125" style="22" hidden="1" customWidth="1"/>
    <col min="13" max="13" width="11.7109375" style="22" hidden="1" customWidth="1"/>
    <col min="14" max="14" width="15.5703125" style="22" customWidth="1"/>
    <col min="15" max="15" width="10.140625" style="22" hidden="1" customWidth="1"/>
    <col min="16" max="16" width="13.140625" style="22" hidden="1" customWidth="1"/>
    <col min="17" max="17" width="9.42578125" style="22" hidden="1" customWidth="1"/>
    <col min="18" max="18" width="10.5703125" style="22" hidden="1" customWidth="1"/>
    <col min="19" max="19" width="12.7109375" style="22" customWidth="1"/>
    <col min="20" max="22" width="10.28515625" style="22" customWidth="1"/>
    <col min="23" max="23" width="10.7109375" style="22" customWidth="1"/>
    <col min="24" max="25" width="13.7109375" style="22" hidden="1" customWidth="1"/>
    <col min="26" max="26" width="10.7109375" style="22" hidden="1" customWidth="1"/>
    <col min="27" max="27" width="13.7109375" style="22" customWidth="1"/>
    <col min="28" max="28" width="13.28515625" style="22" customWidth="1"/>
    <col min="29" max="29" width="8.85546875" style="22" customWidth="1"/>
    <col min="30" max="30" width="15.85546875" style="22" customWidth="1"/>
    <col min="31" max="16384" width="11.42578125" style="22"/>
  </cols>
  <sheetData>
    <row r="1" spans="2:33" ht="20.100000000000001" customHeight="1"/>
    <row r="2" spans="2:33" ht="54.75" customHeight="1">
      <c r="D2" s="164" t="s">
        <v>0</v>
      </c>
      <c r="E2" s="164"/>
    </row>
    <row r="3" spans="2:33" ht="54.75" customHeight="1">
      <c r="D3" s="164"/>
      <c r="E3" s="164"/>
    </row>
    <row r="4" spans="2:33" ht="20.100000000000001" customHeight="1"/>
    <row r="5" spans="2:33" ht="19.5" customHeight="1">
      <c r="C5" s="24" t="str">
        <f>'NOMINA EMPELADOS CDO'!C5</f>
        <v>MES DE ABRIL  2026</v>
      </c>
    </row>
    <row r="6" spans="2:33" ht="20.100000000000001" customHeight="1">
      <c r="C6" s="145" t="str">
        <f>'NOMINA EMPELADOS CDO'!C6</f>
        <v>DESDE EL 01/04 AL  30/04/2026</v>
      </c>
      <c r="D6" s="145"/>
      <c r="E6" s="145"/>
      <c r="F6" s="145"/>
      <c r="AD6" s="25" t="str">
        <f>'NOMINA EMPELADOS CDO'!AF6</f>
        <v>TASA AL 31-03-2026</v>
      </c>
    </row>
    <row r="7" spans="2:33" ht="36.75" customHeight="1">
      <c r="B7" s="146" t="s">
        <v>4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D7" s="22">
        <f>'NOMINA EMPELADOS CDO'!AF7</f>
        <v>487.11919999999998</v>
      </c>
    </row>
    <row r="8" spans="2:33" ht="15" customHeight="1"/>
    <row r="9" spans="2:33" ht="30" customHeight="1">
      <c r="B9" s="150" t="s">
        <v>5</v>
      </c>
      <c r="C9" s="152" t="s">
        <v>6</v>
      </c>
      <c r="D9" s="154" t="s">
        <v>7</v>
      </c>
      <c r="E9" s="154" t="s">
        <v>8</v>
      </c>
      <c r="F9" s="154" t="s">
        <v>9</v>
      </c>
      <c r="G9" s="154" t="s">
        <v>10</v>
      </c>
      <c r="H9" s="154" t="s">
        <v>11</v>
      </c>
      <c r="I9" s="154" t="s">
        <v>12</v>
      </c>
      <c r="J9" s="154" t="s">
        <v>13</v>
      </c>
      <c r="K9" s="154" t="s">
        <v>14</v>
      </c>
      <c r="L9" s="156" t="s">
        <v>15</v>
      </c>
      <c r="M9" s="154" t="s">
        <v>16</v>
      </c>
      <c r="N9" s="158" t="s">
        <v>17</v>
      </c>
      <c r="O9" s="156" t="s">
        <v>18</v>
      </c>
      <c r="P9" s="160" t="s">
        <v>19</v>
      </c>
      <c r="Q9" s="156" t="s">
        <v>20</v>
      </c>
      <c r="R9" s="156" t="s">
        <v>21</v>
      </c>
      <c r="S9" s="154" t="s">
        <v>22</v>
      </c>
      <c r="T9" s="147" t="s">
        <v>23</v>
      </c>
      <c r="U9" s="148"/>
      <c r="V9" s="148"/>
      <c r="W9" s="148"/>
      <c r="X9" s="148"/>
      <c r="Y9" s="148"/>
      <c r="Z9" s="148"/>
      <c r="AA9" s="149"/>
      <c r="AB9" s="162" t="s">
        <v>24</v>
      </c>
      <c r="AD9" s="22">
        <f>300*AD7</f>
        <v>146135.75999999998</v>
      </c>
    </row>
    <row r="10" spans="2:33" ht="36.75" customHeight="1">
      <c r="B10" s="151"/>
      <c r="C10" s="153"/>
      <c r="D10" s="155"/>
      <c r="E10" s="155"/>
      <c r="F10" s="155"/>
      <c r="G10" s="155"/>
      <c r="H10" s="155"/>
      <c r="I10" s="155"/>
      <c r="J10" s="155"/>
      <c r="K10" s="155"/>
      <c r="L10" s="157"/>
      <c r="M10" s="155" t="s">
        <v>25</v>
      </c>
      <c r="N10" s="159"/>
      <c r="O10" s="157"/>
      <c r="P10" s="161"/>
      <c r="Q10" s="157"/>
      <c r="R10" s="157"/>
      <c r="S10" s="155"/>
      <c r="T10" s="27" t="s">
        <v>26</v>
      </c>
      <c r="U10" s="27" t="s">
        <v>27</v>
      </c>
      <c r="V10" s="27" t="s">
        <v>28</v>
      </c>
      <c r="W10" s="27" t="s">
        <v>29</v>
      </c>
      <c r="X10" s="27" t="s">
        <v>30</v>
      </c>
      <c r="Y10" s="27" t="s">
        <v>31</v>
      </c>
      <c r="Z10" s="27" t="s">
        <v>32</v>
      </c>
      <c r="AA10" s="29" t="s">
        <v>33</v>
      </c>
      <c r="AB10" s="163"/>
      <c r="AD10" s="30"/>
      <c r="AE10" s="31"/>
    </row>
    <row r="11" spans="2:33" ht="47.25" customHeight="1">
      <c r="B11" s="67" t="s">
        <v>61</v>
      </c>
      <c r="C11" s="32" t="s">
        <v>62</v>
      </c>
      <c r="D11" s="33">
        <v>15514275</v>
      </c>
      <c r="E11" s="33" t="s">
        <v>63</v>
      </c>
      <c r="F11" s="34">
        <v>45219</v>
      </c>
      <c r="G11" s="32" t="s">
        <v>64</v>
      </c>
      <c r="H11" s="34" t="s">
        <v>65</v>
      </c>
      <c r="I11" s="35">
        <f>ASISTENCIA!AA13</f>
        <v>30</v>
      </c>
      <c r="J11" s="36">
        <f>(300*AD7)/30</f>
        <v>4871.1919999999991</v>
      </c>
      <c r="K11" s="36">
        <f>J11*30</f>
        <v>146135.75999999998</v>
      </c>
      <c r="L11" s="36">
        <v>0</v>
      </c>
      <c r="M11" s="37">
        <f>I11*J11</f>
        <v>146135.75999999998</v>
      </c>
      <c r="N11" s="38">
        <v>0</v>
      </c>
      <c r="O11" s="38">
        <v>0</v>
      </c>
      <c r="P11" s="39"/>
      <c r="Q11" s="38">
        <f>ASISTENCIA!Z13</f>
        <v>0</v>
      </c>
      <c r="R11" s="38">
        <f>J11/8*Q11</f>
        <v>0</v>
      </c>
      <c r="S11" s="133">
        <f t="shared" ref="S11:S12" si="0">M11+N11</f>
        <v>146135.75999999998</v>
      </c>
      <c r="T11" s="40">
        <v>0</v>
      </c>
      <c r="U11" s="40">
        <v>0</v>
      </c>
      <c r="V11" s="40">
        <v>0</v>
      </c>
      <c r="W11" s="41">
        <f>S11*2.63%</f>
        <v>3843.3704879999996</v>
      </c>
      <c r="X11" s="41">
        <v>0</v>
      </c>
      <c r="Y11" s="41">
        <v>0</v>
      </c>
      <c r="Z11" s="41">
        <v>0</v>
      </c>
      <c r="AA11" s="40">
        <f>T11+U11+V11+W11</f>
        <v>3843.3704879999996</v>
      </c>
      <c r="AB11" s="134">
        <f>S11-AA11</f>
        <v>142292.38951199999</v>
      </c>
      <c r="AD11" s="44">
        <v>3313.6997970000002</v>
      </c>
      <c r="AE11" s="44"/>
      <c r="AF11" s="44"/>
      <c r="AG11" s="44"/>
    </row>
    <row r="12" spans="2:33" ht="47.25" customHeight="1">
      <c r="B12" s="72" t="s">
        <v>66</v>
      </c>
      <c r="C12" s="135" t="s">
        <v>67</v>
      </c>
      <c r="D12" s="136">
        <v>16489561</v>
      </c>
      <c r="E12" s="136" t="s">
        <v>68</v>
      </c>
      <c r="F12" s="137">
        <v>45219</v>
      </c>
      <c r="G12" s="135" t="s">
        <v>69</v>
      </c>
      <c r="H12" s="137" t="s">
        <v>65</v>
      </c>
      <c r="I12" s="138">
        <f>ASISTENCIA!AA14</f>
        <v>30</v>
      </c>
      <c r="J12" s="139">
        <f>(300*AD7)/30</f>
        <v>4871.1919999999991</v>
      </c>
      <c r="K12" s="139">
        <f t="shared" ref="K12" si="1">J12*30</f>
        <v>146135.75999999998</v>
      </c>
      <c r="L12" s="139">
        <v>0</v>
      </c>
      <c r="M12" s="133">
        <f t="shared" ref="M12" si="2">I12*J12</f>
        <v>146135.75999999998</v>
      </c>
      <c r="N12" s="140">
        <v>0</v>
      </c>
      <c r="O12" s="140">
        <f>AE12</f>
        <v>0</v>
      </c>
      <c r="P12" s="141"/>
      <c r="Q12" s="140">
        <f>ASISTENCIA!Z14</f>
        <v>0</v>
      </c>
      <c r="R12" s="140">
        <f>J12/8*Q12</f>
        <v>0</v>
      </c>
      <c r="S12" s="133">
        <f t="shared" si="0"/>
        <v>146135.75999999998</v>
      </c>
      <c r="T12" s="142">
        <v>0</v>
      </c>
      <c r="U12" s="142">
        <v>0</v>
      </c>
      <c r="V12" s="142">
        <v>0</v>
      </c>
      <c r="W12" s="143">
        <f>+S12*2.34%</f>
        <v>3419.576783999999</v>
      </c>
      <c r="X12" s="143">
        <v>0</v>
      </c>
      <c r="Y12" s="143">
        <v>0</v>
      </c>
      <c r="Z12" s="143">
        <v>0</v>
      </c>
      <c r="AA12" s="142">
        <f>T12+U12+V12+W12</f>
        <v>3419.576783999999</v>
      </c>
      <c r="AB12" s="144">
        <f t="shared" ref="AB12" si="3">S12-AA12</f>
        <v>142716.18321599998</v>
      </c>
      <c r="AD12" s="44">
        <v>2948.3108459999999</v>
      </c>
      <c r="AE12" s="44"/>
      <c r="AF12" s="44"/>
      <c r="AG12" s="44"/>
    </row>
    <row r="13" spans="2:33" ht="37.5" customHeight="1">
      <c r="I13" s="46"/>
      <c r="J13" s="47">
        <f t="shared" ref="J13:AB13" si="4">SUM(J11:J12)</f>
        <v>9742.3839999999982</v>
      </c>
      <c r="K13" s="47">
        <f t="shared" si="4"/>
        <v>292271.51999999996</v>
      </c>
      <c r="L13" s="48">
        <f t="shared" si="4"/>
        <v>0</v>
      </c>
      <c r="M13" s="49">
        <f t="shared" si="4"/>
        <v>292271.51999999996</v>
      </c>
      <c r="N13" s="50">
        <f t="shared" si="4"/>
        <v>0</v>
      </c>
      <c r="O13" s="47">
        <f t="shared" si="4"/>
        <v>0</v>
      </c>
      <c r="P13" s="47">
        <f t="shared" si="4"/>
        <v>0</v>
      </c>
      <c r="Q13" s="47">
        <f t="shared" si="4"/>
        <v>0</v>
      </c>
      <c r="R13" s="47">
        <f t="shared" si="4"/>
        <v>0</v>
      </c>
      <c r="S13" s="51">
        <f t="shared" si="4"/>
        <v>292271.51999999996</v>
      </c>
      <c r="T13" s="52">
        <f t="shared" si="4"/>
        <v>0</v>
      </c>
      <c r="U13" s="52">
        <f t="shared" si="4"/>
        <v>0</v>
      </c>
      <c r="V13" s="52">
        <f t="shared" si="4"/>
        <v>0</v>
      </c>
      <c r="W13" s="52">
        <f t="shared" si="4"/>
        <v>7262.9472719999985</v>
      </c>
      <c r="X13" s="52">
        <f t="shared" si="4"/>
        <v>0</v>
      </c>
      <c r="Y13" s="52">
        <f t="shared" si="4"/>
        <v>0</v>
      </c>
      <c r="Z13" s="52">
        <f t="shared" si="4"/>
        <v>0</v>
      </c>
      <c r="AA13" s="53">
        <f t="shared" si="4"/>
        <v>7262.9472719999985</v>
      </c>
      <c r="AB13" s="54">
        <f t="shared" si="4"/>
        <v>285008.572728</v>
      </c>
      <c r="AD13" s="22">
        <v>340.6</v>
      </c>
    </row>
    <row r="14" spans="2:33" ht="20.100000000000001" customHeight="1">
      <c r="I14" s="46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spans="2:33">
      <c r="N15" s="56"/>
      <c r="O15" s="56"/>
      <c r="P15" s="56"/>
      <c r="Q15" s="56"/>
      <c r="R15" s="56"/>
    </row>
    <row r="16" spans="2:33" ht="40.5">
      <c r="G16" s="22" t="s">
        <v>51</v>
      </c>
      <c r="H16" s="57" t="s">
        <v>70</v>
      </c>
      <c r="I16" s="57" t="s">
        <v>53</v>
      </c>
      <c r="J16" s="27" t="s">
        <v>54</v>
      </c>
      <c r="K16" s="27"/>
      <c r="L16" s="58"/>
      <c r="M16" s="58" t="s">
        <v>53</v>
      </c>
      <c r="N16" s="27" t="s">
        <v>55</v>
      </c>
      <c r="O16" s="58" t="s">
        <v>53</v>
      </c>
      <c r="P16" s="27" t="s">
        <v>56</v>
      </c>
      <c r="Q16" s="27" t="s">
        <v>53</v>
      </c>
      <c r="R16" s="27" t="s">
        <v>57</v>
      </c>
      <c r="S16" s="58" t="s">
        <v>58</v>
      </c>
      <c r="T16" s="27" t="s">
        <v>59</v>
      </c>
      <c r="U16" s="27" t="s">
        <v>60</v>
      </c>
      <c r="V16" s="46"/>
      <c r="W16" s="46"/>
      <c r="X16" s="46"/>
      <c r="Y16" s="46"/>
      <c r="Z16" s="59"/>
      <c r="AA16" s="55"/>
    </row>
    <row r="17" spans="6:28" ht="25.5" customHeight="1">
      <c r="F17" s="60"/>
      <c r="H17" s="61" t="str">
        <f>C11</f>
        <v>ELIAS ANTONIO NAYATI VARGAS</v>
      </c>
      <c r="I17" s="62"/>
      <c r="J17" s="63">
        <f>((J11)+(115%*J11))/8*I17</f>
        <v>0</v>
      </c>
      <c r="K17" s="63"/>
      <c r="L17" s="63"/>
      <c r="M17" s="62">
        <v>0</v>
      </c>
      <c r="N17" s="63">
        <f>((J11)+(115%*J11))/8*M17</f>
        <v>0</v>
      </c>
      <c r="O17" s="62">
        <v>0</v>
      </c>
      <c r="P17" s="63">
        <f>(J11/8*(90/100)+(J11/8))*O17</f>
        <v>0</v>
      </c>
      <c r="Q17" s="62">
        <v>0</v>
      </c>
      <c r="R17" s="63">
        <f>(J11/8*(115/100)+(J11/8))*Q17</f>
        <v>0</v>
      </c>
      <c r="S17" s="64">
        <f>(J17+N17+P17+R17)/7</f>
        <v>0</v>
      </c>
      <c r="T17" s="62">
        <f>I17+M17+O17+Q17</f>
        <v>0</v>
      </c>
      <c r="U17" s="65">
        <f>J17+N17+P17+R17+S17</f>
        <v>0</v>
      </c>
      <c r="Z17" s="66"/>
    </row>
    <row r="18" spans="6:28" ht="25.5" customHeight="1">
      <c r="H18" s="67" t="str">
        <f>C12</f>
        <v>KARELIS ADREINA ESPLUGUEZ SARMIENTO</v>
      </c>
      <c r="I18" s="68"/>
      <c r="J18" s="69">
        <f>((J12)+(115%*J12))/8*I18</f>
        <v>0</v>
      </c>
      <c r="K18" s="69"/>
      <c r="L18" s="69"/>
      <c r="M18" s="68">
        <v>0</v>
      </c>
      <c r="N18" s="69">
        <f>((J12)+(115%*J12))/8*M18</f>
        <v>0</v>
      </c>
      <c r="O18" s="68">
        <v>0</v>
      </c>
      <c r="P18" s="69">
        <f>(J12/8*(90/100)+(J12/8))*O18</f>
        <v>0</v>
      </c>
      <c r="Q18" s="68">
        <v>0</v>
      </c>
      <c r="R18" s="69">
        <f>(J12/8*(115/100)+(J12/8))*Q18</f>
        <v>0</v>
      </c>
      <c r="S18" s="70">
        <f>(J18+N18+P18+R18)/7</f>
        <v>0</v>
      </c>
      <c r="T18" s="68">
        <f>I18+M18+O18+Q18</f>
        <v>0</v>
      </c>
      <c r="U18" s="71">
        <f>J18+N18+P18+R18+S18</f>
        <v>0</v>
      </c>
      <c r="Z18" s="66"/>
    </row>
    <row r="19" spans="6:28" ht="20.100000000000001" customHeight="1">
      <c r="H19" s="72">
        <f>C13</f>
        <v>0</v>
      </c>
      <c r="I19" s="73"/>
      <c r="J19" s="74">
        <f>((J13)+(115%*J13))/8*I19</f>
        <v>0</v>
      </c>
      <c r="K19" s="74"/>
      <c r="L19" s="74"/>
      <c r="M19" s="73">
        <v>0</v>
      </c>
      <c r="N19" s="74">
        <f>((J13)+(115%*J13))/8*M19</f>
        <v>0</v>
      </c>
      <c r="O19" s="73">
        <v>0</v>
      </c>
      <c r="P19" s="74">
        <f>(J13/8*(90/100)+(J13/8))*O19</f>
        <v>0</v>
      </c>
      <c r="Q19" s="73">
        <v>0</v>
      </c>
      <c r="R19" s="74">
        <f>(J13/8*(115/100)+(J13/8))*Q19</f>
        <v>0</v>
      </c>
      <c r="S19" s="75">
        <f t="shared" ref="S19" si="5">(J19+N19+P19+R19)/7</f>
        <v>0</v>
      </c>
      <c r="T19" s="73">
        <f t="shared" ref="T19" si="6">I19+M19+O19+Q19</f>
        <v>0</v>
      </c>
      <c r="U19" s="76">
        <f t="shared" ref="U19" si="7">J19+N19+P19+R19+S19</f>
        <v>0</v>
      </c>
      <c r="Z19" s="66"/>
      <c r="AB19" s="44"/>
    </row>
    <row r="20" spans="6:28" ht="20.100000000000001" customHeight="1">
      <c r="I20" s="77">
        <f>SUM(I17:I18)</f>
        <v>0</v>
      </c>
      <c r="J20" s="78">
        <f>SUM(J17:J18)</f>
        <v>0</v>
      </c>
      <c r="K20" s="78"/>
      <c r="L20" s="78"/>
      <c r="M20" s="77">
        <f t="shared" ref="M20:U20" si="8">SUM(M17:M18)</f>
        <v>0</v>
      </c>
      <c r="N20" s="78">
        <f t="shared" si="8"/>
        <v>0</v>
      </c>
      <c r="O20" s="77">
        <f t="shared" si="8"/>
        <v>0</v>
      </c>
      <c r="P20" s="78">
        <f t="shared" si="8"/>
        <v>0</v>
      </c>
      <c r="Q20" s="77">
        <f t="shared" si="8"/>
        <v>0</v>
      </c>
      <c r="R20" s="78">
        <f t="shared" si="8"/>
        <v>0</v>
      </c>
      <c r="S20" s="78">
        <f t="shared" si="8"/>
        <v>0</v>
      </c>
      <c r="T20" s="77">
        <f t="shared" si="8"/>
        <v>0</v>
      </c>
      <c r="U20" s="78">
        <f t="shared" si="8"/>
        <v>0</v>
      </c>
      <c r="V20" s="79"/>
      <c r="W20" s="79"/>
      <c r="X20" s="79"/>
      <c r="Y20" s="79"/>
      <c r="Z20" s="79"/>
      <c r="AA20" s="79"/>
    </row>
    <row r="21" spans="6:28">
      <c r="V21" s="46"/>
      <c r="W21" s="55"/>
      <c r="X21" s="46"/>
      <c r="Y21" s="46"/>
    </row>
    <row r="23" spans="6:28">
      <c r="J23" s="44"/>
      <c r="K23" s="44"/>
      <c r="L23" s="44"/>
      <c r="W23" s="44"/>
    </row>
    <row r="24" spans="6:28">
      <c r="I24" s="30"/>
      <c r="J24" s="30"/>
      <c r="K24" s="30"/>
      <c r="L24" s="30"/>
      <c r="M24" s="30"/>
    </row>
    <row r="25" spans="6:28">
      <c r="I25" s="30"/>
      <c r="J25" s="30"/>
      <c r="K25" s="44"/>
      <c r="L25" s="44"/>
    </row>
    <row r="26" spans="6:28">
      <c r="I26" s="44"/>
      <c r="J26" s="44"/>
      <c r="K26" s="44"/>
      <c r="L26" s="44"/>
      <c r="M26" s="44"/>
      <c r="N26" s="44"/>
      <c r="O26" s="44"/>
      <c r="P26" s="44"/>
    </row>
    <row r="27" spans="6:28">
      <c r="I27" s="44"/>
      <c r="J27" s="44"/>
      <c r="K27" s="44"/>
      <c r="L27" s="44"/>
      <c r="M27" s="44"/>
      <c r="N27" s="44"/>
      <c r="O27" s="44"/>
      <c r="P27" s="44"/>
      <c r="T27" s="44"/>
    </row>
    <row r="28" spans="6:28">
      <c r="I28" s="44"/>
      <c r="J28" s="44"/>
      <c r="K28" s="44"/>
      <c r="L28" s="44"/>
      <c r="M28" s="44"/>
      <c r="N28" s="44"/>
      <c r="O28" s="44"/>
      <c r="P28" s="44"/>
    </row>
    <row r="29" spans="6:28">
      <c r="J29" s="44"/>
      <c r="K29" s="44"/>
      <c r="L29" s="44"/>
      <c r="M29" s="44"/>
    </row>
  </sheetData>
  <mergeCells count="23">
    <mergeCell ref="AB9:AB10"/>
    <mergeCell ref="D2:E3"/>
    <mergeCell ref="O9:O10"/>
    <mergeCell ref="P9:P10"/>
    <mergeCell ref="Q9:Q10"/>
    <mergeCell ref="R9:R10"/>
    <mergeCell ref="S9:S10"/>
    <mergeCell ref="C6:F6"/>
    <mergeCell ref="B7:AB7"/>
    <mergeCell ref="T9:AA9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</mergeCells>
  <printOptions horizontalCentered="1" verticalCentered="1"/>
  <pageMargins left="0.43307086614173201" right="0.59055118110236204" top="0.511811023622047" bottom="0.39370078740157499" header="0" footer="0"/>
  <pageSetup scale="51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98"/>
  <sheetViews>
    <sheetView zoomScale="50" zoomScaleNormal="50" workbookViewId="0">
      <selection activeCell="D40" sqref="D40"/>
    </sheetView>
  </sheetViews>
  <sheetFormatPr baseColWidth="10" defaultColWidth="11" defaultRowHeight="12.75"/>
  <cols>
    <col min="1" max="1" width="3.7109375" customWidth="1"/>
    <col min="2" max="2" width="0.85546875" customWidth="1"/>
    <col min="3" max="3" width="32.7109375" customWidth="1"/>
    <col min="4" max="4" width="20.7109375" customWidth="1"/>
    <col min="5" max="5" width="32.7109375" customWidth="1"/>
    <col min="6" max="6" width="18.7109375" customWidth="1"/>
    <col min="7" max="7" width="30.7109375" customWidth="1"/>
    <col min="8" max="8" width="18.7109375" customWidth="1"/>
    <col min="9" max="9" width="30.7109375" customWidth="1"/>
    <col min="10" max="10" width="40.7109375" customWidth="1"/>
    <col min="11" max="11" width="38.7109375" customWidth="1"/>
    <col min="12" max="12" width="48.7109375" customWidth="1"/>
    <col min="13" max="13" width="0.85546875" customWidth="1"/>
  </cols>
  <sheetData>
    <row r="1" spans="2:13" ht="35.1" customHeight="1"/>
    <row r="2" spans="2:13" ht="5.0999999999999996" customHeight="1">
      <c r="B2" s="80" t="s">
        <v>71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3" ht="69.95" customHeight="1">
      <c r="B3" s="83"/>
      <c r="C3" s="165" t="s">
        <v>72</v>
      </c>
      <c r="D3" s="166"/>
      <c r="E3" s="166"/>
      <c r="F3" s="166"/>
      <c r="G3" s="166"/>
      <c r="H3" s="166"/>
      <c r="I3" s="166"/>
      <c r="J3" s="166"/>
      <c r="K3" s="166"/>
      <c r="L3" s="167"/>
      <c r="M3" s="84"/>
    </row>
    <row r="4" spans="2:13" ht="45" customHeight="1">
      <c r="B4" s="83"/>
      <c r="C4" s="168" t="s">
        <v>73</v>
      </c>
      <c r="D4" s="169"/>
      <c r="E4" s="169"/>
      <c r="F4" s="169"/>
      <c r="G4" s="169"/>
      <c r="H4" s="169"/>
      <c r="I4" s="169"/>
      <c r="J4" s="170"/>
      <c r="K4" s="85" t="s">
        <v>74</v>
      </c>
      <c r="L4" s="85">
        <f>'NOMINA EMPELADOS CDO'!B11</f>
        <v>1</v>
      </c>
      <c r="M4" s="84"/>
    </row>
    <row r="5" spans="2:13" ht="45" customHeight="1">
      <c r="B5" s="83"/>
      <c r="C5" s="171" t="str">
        <f>'NOMINA EMPELADOS CDO'!C6</f>
        <v>DESDE EL 01/04 AL  30/04/2026</v>
      </c>
      <c r="D5" s="172"/>
      <c r="E5" s="172"/>
      <c r="F5" s="172"/>
      <c r="G5" s="172"/>
      <c r="H5" s="172"/>
      <c r="I5" s="172"/>
      <c r="J5" s="172"/>
      <c r="K5" s="172"/>
      <c r="L5" s="173"/>
      <c r="M5" s="84"/>
    </row>
    <row r="6" spans="2:13" ht="5.0999999999999996" customHeight="1">
      <c r="B6" s="83"/>
      <c r="C6" s="86"/>
      <c r="D6" s="87"/>
      <c r="E6" s="87"/>
      <c r="F6" s="87"/>
      <c r="G6" s="87"/>
      <c r="H6" s="87"/>
      <c r="I6" s="87"/>
      <c r="J6" s="87"/>
      <c r="K6" s="87"/>
      <c r="L6" s="87"/>
      <c r="M6" s="84"/>
    </row>
    <row r="7" spans="2:13" ht="54.95" customHeight="1">
      <c r="B7" s="83"/>
      <c r="C7" s="88" t="s">
        <v>75</v>
      </c>
      <c r="D7" s="89"/>
      <c r="E7" s="174" t="str">
        <f>'NOMINA EMPELADOS CDO'!C11</f>
        <v>DAIRILYS DEL CARMEN GUAREGUA CHAGUAN</v>
      </c>
      <c r="F7" s="174"/>
      <c r="G7" s="174"/>
      <c r="H7" s="174"/>
      <c r="I7" s="174"/>
      <c r="J7" s="90" t="s">
        <v>76</v>
      </c>
      <c r="K7" s="175">
        <f>'NOMINA EMPELADOS CDO'!D11</f>
        <v>16067033</v>
      </c>
      <c r="L7" s="176"/>
      <c r="M7" s="84"/>
    </row>
    <row r="8" spans="2:13" ht="54.95" customHeight="1">
      <c r="B8" s="83"/>
      <c r="C8" s="91" t="s">
        <v>77</v>
      </c>
      <c r="D8" s="92"/>
      <c r="E8" s="93">
        <f>'NOMINA EMPELADOS CDO'!F11</f>
        <v>45001</v>
      </c>
      <c r="F8" s="94" t="s">
        <v>78</v>
      </c>
      <c r="G8" s="177" t="str">
        <f>'NOMINA EMPELADOS CDO'!G11</f>
        <v>ENCARGADA DE TIENDA</v>
      </c>
      <c r="H8" s="177"/>
      <c r="I8" s="177"/>
      <c r="J8" s="94" t="s">
        <v>79</v>
      </c>
      <c r="K8" s="178" t="str">
        <f>'NOMINA EMPELADOS CDO'!H11</f>
        <v>ADMINISTRACION</v>
      </c>
      <c r="L8" s="179"/>
      <c r="M8" s="84"/>
    </row>
    <row r="9" spans="2:13" ht="39.950000000000003" customHeight="1">
      <c r="B9" s="83"/>
      <c r="C9" s="180" t="s">
        <v>80</v>
      </c>
      <c r="D9" s="181"/>
      <c r="E9" s="92"/>
      <c r="F9" s="92"/>
      <c r="G9" s="95"/>
      <c r="H9" s="95"/>
      <c r="I9" s="95"/>
      <c r="J9" s="92"/>
      <c r="K9" s="92"/>
      <c r="L9" s="96"/>
      <c r="M9" s="84"/>
    </row>
    <row r="10" spans="2:13" ht="60" customHeight="1">
      <c r="B10" s="83"/>
      <c r="C10" s="97" t="s">
        <v>81</v>
      </c>
      <c r="D10" s="131">
        <f>'NOMINA EMPELADOS CDO'!I11</f>
        <v>30</v>
      </c>
      <c r="E10" s="182" t="s">
        <v>82</v>
      </c>
      <c r="F10" s="182"/>
      <c r="G10" s="99">
        <f>'NOMINA EMPELADOS CDO'!J11</f>
        <v>43.333333330000002</v>
      </c>
      <c r="H10" s="100" t="s">
        <v>83</v>
      </c>
      <c r="I10" s="101">
        <f>G10*D10</f>
        <v>1299.9999999000001</v>
      </c>
      <c r="J10" s="183" t="s">
        <v>84</v>
      </c>
      <c r="K10" s="183"/>
      <c r="L10" s="102">
        <f>G10*30</f>
        <v>1299.9999999000001</v>
      </c>
      <c r="M10" s="84"/>
    </row>
    <row r="11" spans="2:13" ht="30" customHeight="1">
      <c r="B11" s="83"/>
      <c r="C11" s="103" t="s">
        <v>85</v>
      </c>
      <c r="D11" s="104"/>
      <c r="E11" s="105" t="s">
        <v>86</v>
      </c>
      <c r="F11" s="105">
        <f>'NOMINA EMPELADOS CDO'!P20</f>
        <v>0</v>
      </c>
      <c r="G11" s="101"/>
      <c r="H11" s="100" t="s">
        <v>83</v>
      </c>
      <c r="I11" s="101">
        <f>'NOMINA EMPELADOS CDO'!Q20</f>
        <v>0</v>
      </c>
      <c r="J11" s="92"/>
      <c r="K11" s="92"/>
      <c r="L11" s="96"/>
      <c r="M11" s="84"/>
    </row>
    <row r="12" spans="2:13" ht="30" customHeight="1">
      <c r="B12" s="83"/>
      <c r="C12" s="103" t="s">
        <v>87</v>
      </c>
      <c r="D12" s="104"/>
      <c r="E12" s="105" t="s">
        <v>86</v>
      </c>
      <c r="F12" s="105">
        <f>'NOMINA EMPELADOS CDO'!R20</f>
        <v>0</v>
      </c>
      <c r="G12" s="101"/>
      <c r="H12" s="100" t="s">
        <v>83</v>
      </c>
      <c r="I12" s="101">
        <f>'NOMINA EMPELADOS CDO'!S20</f>
        <v>0</v>
      </c>
      <c r="J12" s="92"/>
      <c r="K12" s="92"/>
      <c r="L12" s="96"/>
      <c r="M12" s="84"/>
    </row>
    <row r="13" spans="2:13" ht="30" customHeight="1">
      <c r="B13" s="83"/>
      <c r="C13" s="103" t="s">
        <v>55</v>
      </c>
      <c r="D13" s="104"/>
      <c r="E13" s="105" t="s">
        <v>86</v>
      </c>
      <c r="F13" s="105">
        <f>'NOMINA EMPELADOS CDO'!M20</f>
        <v>0</v>
      </c>
      <c r="G13" s="101"/>
      <c r="H13" s="100" t="s">
        <v>83</v>
      </c>
      <c r="I13" s="101">
        <f>'NOMINA EMPELADOS CDO'!O20</f>
        <v>0</v>
      </c>
      <c r="J13" s="92"/>
      <c r="K13" s="92"/>
      <c r="L13" s="96"/>
      <c r="M13" s="84"/>
    </row>
    <row r="14" spans="2:13" ht="30" customHeight="1">
      <c r="B14" s="83"/>
      <c r="C14" s="106" t="s">
        <v>88</v>
      </c>
      <c r="D14" s="107"/>
      <c r="E14" s="105" t="s">
        <v>89</v>
      </c>
      <c r="F14" s="105"/>
      <c r="G14" s="101"/>
      <c r="H14" s="100" t="s">
        <v>83</v>
      </c>
      <c r="I14" s="101">
        <f>'NOMINA EMPELADOS CDO'!T20</f>
        <v>0</v>
      </c>
      <c r="J14" s="92"/>
      <c r="K14" s="92"/>
      <c r="L14" s="96"/>
      <c r="M14" s="84"/>
    </row>
    <row r="15" spans="2:13" ht="30" customHeight="1">
      <c r="B15" s="83"/>
      <c r="C15" s="106" t="s">
        <v>54</v>
      </c>
      <c r="D15" s="107"/>
      <c r="E15" s="105" t="s">
        <v>86</v>
      </c>
      <c r="F15" s="105">
        <f>'NOMINA EMPELADOS CDO'!I20</f>
        <v>0</v>
      </c>
      <c r="G15" s="101"/>
      <c r="H15" s="100" t="s">
        <v>83</v>
      </c>
      <c r="I15" s="101">
        <f>'NOMINA EMPELADOS CDO'!J20</f>
        <v>0</v>
      </c>
      <c r="J15" s="92"/>
      <c r="K15" s="92"/>
      <c r="L15" s="96"/>
      <c r="M15" s="84"/>
    </row>
    <row r="16" spans="2:13" ht="30" customHeight="1">
      <c r="B16" s="83"/>
      <c r="C16" s="106" t="s">
        <v>90</v>
      </c>
      <c r="D16" s="107"/>
      <c r="E16" s="105" t="s">
        <v>89</v>
      </c>
      <c r="F16" s="184"/>
      <c r="G16" s="184"/>
      <c r="H16" s="100" t="s">
        <v>83</v>
      </c>
      <c r="I16" s="101">
        <f>'NOMINA EMPELADOS CDO'!P11</f>
        <v>0</v>
      </c>
      <c r="J16" s="92"/>
      <c r="K16" s="92"/>
      <c r="L16" s="96"/>
      <c r="M16" s="84"/>
    </row>
    <row r="17" spans="2:13" ht="30" customHeight="1">
      <c r="B17" s="83"/>
      <c r="C17" s="106" t="s">
        <v>91</v>
      </c>
      <c r="D17" s="92"/>
      <c r="E17" s="108"/>
      <c r="F17" s="109">
        <f>'NOMINA EMPELADOS CDO'!R11</f>
        <v>0</v>
      </c>
      <c r="G17" s="108" t="s">
        <v>92</v>
      </c>
      <c r="H17" s="100" t="s">
        <v>83</v>
      </c>
      <c r="I17" s="101">
        <f>'NOMINA EMPELADOS CDO'!S11</f>
        <v>0</v>
      </c>
      <c r="J17" s="92"/>
      <c r="K17" s="92"/>
      <c r="L17" s="96"/>
      <c r="M17" s="84"/>
    </row>
    <row r="18" spans="2:13" ht="30" customHeight="1">
      <c r="B18" s="83"/>
      <c r="C18" s="106" t="s">
        <v>17</v>
      </c>
      <c r="D18" s="110"/>
      <c r="E18" s="105"/>
      <c r="F18" s="111"/>
      <c r="G18" s="101"/>
      <c r="H18" s="100" t="s">
        <v>83</v>
      </c>
      <c r="I18" s="112">
        <f>+'NOMINA EMPELADOS CDO'!O11</f>
        <v>8442.384000099999</v>
      </c>
      <c r="J18" s="113"/>
      <c r="K18" s="92"/>
      <c r="L18" s="96"/>
      <c r="M18" s="84"/>
    </row>
    <row r="19" spans="2:13" ht="39.950000000000003" customHeight="1">
      <c r="B19" s="83"/>
      <c r="C19" s="103"/>
      <c r="D19" s="92"/>
      <c r="E19" s="185" t="s">
        <v>93</v>
      </c>
      <c r="F19" s="185"/>
      <c r="G19" s="185"/>
      <c r="H19" s="114" t="s">
        <v>83</v>
      </c>
      <c r="I19" s="115">
        <f>SUM(I10:I18)</f>
        <v>9742.3839999999982</v>
      </c>
      <c r="J19" s="116"/>
      <c r="K19" s="92"/>
      <c r="L19" s="96"/>
      <c r="M19" s="84"/>
    </row>
    <row r="20" spans="2:13" ht="39.950000000000003" customHeight="1">
      <c r="B20" s="83"/>
      <c r="C20" s="180" t="s">
        <v>94</v>
      </c>
      <c r="D20" s="181"/>
      <c r="E20" s="92"/>
      <c r="F20" s="92"/>
      <c r="G20" s="92"/>
      <c r="H20" s="92"/>
      <c r="I20" s="92"/>
      <c r="J20" s="92"/>
      <c r="K20" s="92"/>
      <c r="L20" s="96"/>
      <c r="M20" s="84"/>
    </row>
    <row r="21" spans="2:13" ht="30" customHeight="1">
      <c r="B21" s="83"/>
      <c r="C21" s="103" t="s">
        <v>95</v>
      </c>
      <c r="D21" s="92"/>
      <c r="E21" s="111"/>
      <c r="F21" s="100" t="s">
        <v>96</v>
      </c>
      <c r="G21" s="117">
        <f>'NOMINA EMPELADOS CDO'!U11</f>
        <v>23.99999999815385</v>
      </c>
      <c r="H21" s="92"/>
      <c r="I21" s="101"/>
      <c r="J21" s="92"/>
      <c r="K21" s="92"/>
      <c r="L21" s="96"/>
      <c r="M21" s="84"/>
    </row>
    <row r="22" spans="2:13" ht="30" customHeight="1">
      <c r="B22" s="83"/>
      <c r="C22" s="103" t="s">
        <v>29</v>
      </c>
      <c r="D22" s="92"/>
      <c r="E22" s="111"/>
      <c r="F22" s="100" t="s">
        <v>96</v>
      </c>
      <c r="G22" s="117">
        <f>'NOMINA EMPELADOS CDO'!X11</f>
        <v>971.80280400000015</v>
      </c>
      <c r="H22" s="92"/>
      <c r="I22" s="101"/>
      <c r="J22" s="92"/>
      <c r="K22" s="92"/>
      <c r="L22" s="96"/>
      <c r="M22" s="84"/>
    </row>
    <row r="23" spans="2:13" ht="30" customHeight="1">
      <c r="B23" s="83"/>
      <c r="C23" s="103" t="s">
        <v>97</v>
      </c>
      <c r="D23" s="92"/>
      <c r="E23" s="111"/>
      <c r="F23" s="100" t="s">
        <v>96</v>
      </c>
      <c r="G23" s="117">
        <f>'NOMINA EMPELADOS CDO'!W11</f>
        <v>730.67880000000002</v>
      </c>
      <c r="H23" s="92"/>
      <c r="I23" s="101"/>
      <c r="J23" s="92"/>
      <c r="K23" s="92"/>
      <c r="L23" s="96"/>
      <c r="M23" s="84"/>
    </row>
    <row r="24" spans="2:13" ht="30" customHeight="1">
      <c r="B24" s="83"/>
      <c r="C24" s="103" t="s">
        <v>98</v>
      </c>
      <c r="D24" s="92"/>
      <c r="E24" s="111"/>
      <c r="F24" s="100" t="s">
        <v>96</v>
      </c>
      <c r="G24" s="117">
        <f>'NOMINA EMPELADOS CDO'!V11</f>
        <v>5.9999999995384625</v>
      </c>
      <c r="H24" s="92"/>
      <c r="I24" s="101"/>
      <c r="J24" s="92"/>
      <c r="K24" s="92"/>
      <c r="L24" s="96"/>
      <c r="M24" s="84"/>
    </row>
    <row r="25" spans="2:13" ht="30" customHeight="1">
      <c r="B25" s="83"/>
      <c r="C25" s="103" t="s">
        <v>99</v>
      </c>
      <c r="D25" s="92"/>
      <c r="E25" s="111"/>
      <c r="F25" s="100" t="s">
        <v>96</v>
      </c>
      <c r="G25" s="117">
        <f>'NOMINA EMPELADOS CDO'!Y11</f>
        <v>0</v>
      </c>
      <c r="H25" s="92"/>
      <c r="I25" s="101"/>
      <c r="J25" s="92"/>
      <c r="K25" s="92"/>
      <c r="L25" s="96"/>
      <c r="M25" s="84"/>
    </row>
    <row r="26" spans="2:13" ht="30" customHeight="1">
      <c r="B26" s="83"/>
      <c r="C26" s="103" t="s">
        <v>100</v>
      </c>
      <c r="D26" s="92"/>
      <c r="E26" s="111"/>
      <c r="F26" s="100" t="s">
        <v>96</v>
      </c>
      <c r="G26" s="118">
        <f>'NOMINA EMPELADOS CDO'!AA11</f>
        <v>0</v>
      </c>
      <c r="H26" s="92"/>
      <c r="I26" s="101"/>
      <c r="J26" s="92"/>
      <c r="K26" s="92"/>
      <c r="L26" s="96"/>
      <c r="M26" s="84"/>
    </row>
    <row r="27" spans="2:13" ht="50.1" customHeight="1">
      <c r="B27" s="83"/>
      <c r="C27" s="186" t="s">
        <v>101</v>
      </c>
      <c r="D27" s="187"/>
      <c r="E27" s="187"/>
      <c r="F27" s="100" t="s">
        <v>96</v>
      </c>
      <c r="G27" s="119">
        <f>SUM(G21:G26)</f>
        <v>1732.4816039976924</v>
      </c>
      <c r="H27" s="188" t="s">
        <v>102</v>
      </c>
      <c r="I27" s="188"/>
      <c r="J27" s="188"/>
      <c r="K27" s="120">
        <f>I19-G27</f>
        <v>8009.902396002306</v>
      </c>
      <c r="L27" s="96"/>
      <c r="M27" s="84"/>
    </row>
    <row r="28" spans="2:13" ht="35.1" customHeight="1">
      <c r="B28" s="83"/>
      <c r="C28" s="103"/>
      <c r="D28" s="92"/>
      <c r="E28" s="94"/>
      <c r="F28" s="94"/>
      <c r="G28" s="94"/>
      <c r="H28" s="94"/>
      <c r="I28" s="121"/>
      <c r="J28" s="121"/>
      <c r="K28" s="92"/>
      <c r="L28" s="96"/>
      <c r="M28" s="84"/>
    </row>
    <row r="29" spans="2:13" ht="66" customHeight="1">
      <c r="B29" s="83"/>
      <c r="C29" s="189"/>
      <c r="D29" s="190"/>
      <c r="E29" s="190"/>
      <c r="F29" s="94"/>
      <c r="G29" s="94"/>
      <c r="H29" s="94"/>
      <c r="I29" s="121"/>
      <c r="J29" s="194" t="s">
        <v>103</v>
      </c>
      <c r="K29" s="92"/>
      <c r="L29" s="96"/>
      <c r="M29" s="84"/>
    </row>
    <row r="30" spans="2:13" ht="35.1" customHeight="1">
      <c r="B30" s="83"/>
      <c r="C30" s="103"/>
      <c r="D30" s="92"/>
      <c r="E30" s="92"/>
      <c r="F30" s="92"/>
      <c r="G30" s="92"/>
      <c r="H30" s="92"/>
      <c r="I30" s="92"/>
      <c r="J30" s="195" t="s">
        <v>103</v>
      </c>
      <c r="K30" s="122"/>
      <c r="L30" s="123"/>
      <c r="M30" s="84"/>
    </row>
    <row r="31" spans="2:13" ht="9.9499999999999993" customHeight="1">
      <c r="B31" s="83"/>
      <c r="C31" s="124"/>
      <c r="D31" s="125"/>
      <c r="E31" s="125"/>
      <c r="F31" s="125"/>
      <c r="G31" s="126"/>
      <c r="H31" s="125"/>
      <c r="I31" s="125"/>
      <c r="J31" s="125"/>
      <c r="K31" s="125"/>
      <c r="L31" s="127"/>
      <c r="M31" s="84"/>
    </row>
    <row r="32" spans="2:13" ht="5.0999999999999996" customHeight="1">
      <c r="B32" s="128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30"/>
    </row>
    <row r="33" spans="2:13" ht="120" customHeight="1"/>
    <row r="34" spans="2:13" ht="5.0999999999999996" customHeight="1"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</row>
    <row r="35" spans="2:13" ht="69.75" customHeight="1">
      <c r="B35" s="83"/>
      <c r="C35" s="165" t="str">
        <f>C3</f>
        <v>COMERCIALIZADORA CASA DULCE ORIENTE, C.A.                                                             RIF: J-50223534-5</v>
      </c>
      <c r="D35" s="166"/>
      <c r="E35" s="166"/>
      <c r="F35" s="166"/>
      <c r="G35" s="166"/>
      <c r="H35" s="166"/>
      <c r="I35" s="166"/>
      <c r="J35" s="166"/>
      <c r="K35" s="166"/>
      <c r="L35" s="167"/>
      <c r="M35" s="84"/>
    </row>
    <row r="36" spans="2:13" ht="45" customHeight="1">
      <c r="B36" s="83"/>
      <c r="C36" s="168" t="s">
        <v>73</v>
      </c>
      <c r="D36" s="169"/>
      <c r="E36" s="169"/>
      <c r="F36" s="169"/>
      <c r="G36" s="169"/>
      <c r="H36" s="169"/>
      <c r="I36" s="169"/>
      <c r="J36" s="170"/>
      <c r="K36" s="85" t="s">
        <v>74</v>
      </c>
      <c r="L36" s="85">
        <f>'NOMINA EMPELADOS CDO'!B12</f>
        <v>2</v>
      </c>
      <c r="M36" s="84"/>
    </row>
    <row r="37" spans="2:13" ht="45" customHeight="1">
      <c r="B37" s="83"/>
      <c r="C37" s="171" t="str">
        <f>'NOMINA EMPELADOS CDO'!C6</f>
        <v>DESDE EL 01/04 AL  30/04/2026</v>
      </c>
      <c r="D37" s="172"/>
      <c r="E37" s="172"/>
      <c r="F37" s="172"/>
      <c r="G37" s="172"/>
      <c r="H37" s="172"/>
      <c r="I37" s="172"/>
      <c r="J37" s="172"/>
      <c r="K37" s="172"/>
      <c r="L37" s="173"/>
      <c r="M37" s="84"/>
    </row>
    <row r="38" spans="2:13" ht="5.0999999999999996" customHeight="1">
      <c r="B38" s="83"/>
      <c r="C38" s="86"/>
      <c r="D38" s="87"/>
      <c r="E38" s="87"/>
      <c r="F38" s="87"/>
      <c r="G38" s="87"/>
      <c r="H38" s="87"/>
      <c r="I38" s="87"/>
      <c r="J38" s="87"/>
      <c r="K38" s="87"/>
      <c r="L38" s="87"/>
      <c r="M38" s="84"/>
    </row>
    <row r="39" spans="2:13" ht="54.75" customHeight="1">
      <c r="B39" s="83"/>
      <c r="C39" s="88" t="s">
        <v>75</v>
      </c>
      <c r="D39" s="89"/>
      <c r="E39" s="174" t="str">
        <f>'NOMINA EMPELADOS CDO'!C12</f>
        <v>EMILIO JOSÉ PINTO DOMIGUEZ</v>
      </c>
      <c r="F39" s="174"/>
      <c r="G39" s="174"/>
      <c r="H39" s="174"/>
      <c r="I39" s="174"/>
      <c r="J39" s="90" t="s">
        <v>76</v>
      </c>
      <c r="K39" s="175">
        <f>'NOMINA EMPELADOS CDO'!D12</f>
        <v>8326409</v>
      </c>
      <c r="L39" s="176"/>
      <c r="M39" s="84"/>
    </row>
    <row r="40" spans="2:13" ht="54.95" customHeight="1">
      <c r="B40" s="83"/>
      <c r="C40" s="91" t="s">
        <v>77</v>
      </c>
      <c r="D40" s="92"/>
      <c r="E40" s="93">
        <f>'NOMINA EMPELADOS CDO'!F12</f>
        <v>45001</v>
      </c>
      <c r="F40" s="94" t="s">
        <v>78</v>
      </c>
      <c r="G40" s="177" t="str">
        <f>'NOMINA EMPELADOS CDO'!G12</f>
        <v>LOGISTICA</v>
      </c>
      <c r="H40" s="177"/>
      <c r="I40" s="177"/>
      <c r="J40" s="94" t="s">
        <v>79</v>
      </c>
      <c r="K40" s="178" t="str">
        <f>'NOMINA EMPELADOS CDO'!H12</f>
        <v>OPERACIONES</v>
      </c>
      <c r="L40" s="179"/>
      <c r="M40" s="84"/>
    </row>
    <row r="41" spans="2:13" ht="39.950000000000003" customHeight="1">
      <c r="B41" s="83"/>
      <c r="C41" s="180" t="s">
        <v>80</v>
      </c>
      <c r="D41" s="181"/>
      <c r="E41" s="92"/>
      <c r="F41" s="92"/>
      <c r="G41" s="95"/>
      <c r="H41" s="95"/>
      <c r="I41" s="95"/>
      <c r="J41" s="92"/>
      <c r="K41" s="92"/>
      <c r="L41" s="96"/>
      <c r="M41" s="84"/>
    </row>
    <row r="42" spans="2:13" ht="60" customHeight="1">
      <c r="B42" s="83"/>
      <c r="C42" s="97" t="s">
        <v>81</v>
      </c>
      <c r="D42" s="131">
        <f>'NOMINA EMPELADOS CDO'!I12</f>
        <v>30</v>
      </c>
      <c r="E42" s="182" t="s">
        <v>82</v>
      </c>
      <c r="F42" s="182"/>
      <c r="G42" s="99">
        <f>'NOMINA EMPELADOS CDO'!J12</f>
        <v>43.333333333333336</v>
      </c>
      <c r="H42" s="100" t="s">
        <v>96</v>
      </c>
      <c r="I42" s="101">
        <f>G42*D42</f>
        <v>1300</v>
      </c>
      <c r="J42" s="183" t="s">
        <v>84</v>
      </c>
      <c r="K42" s="183"/>
      <c r="L42" s="102">
        <f>G42*30</f>
        <v>1300</v>
      </c>
      <c r="M42" s="84"/>
    </row>
    <row r="43" spans="2:13" ht="30" customHeight="1">
      <c r="B43" s="83"/>
      <c r="C43" s="103" t="s">
        <v>85</v>
      </c>
      <c r="D43" s="104"/>
      <c r="E43" s="105" t="s">
        <v>86</v>
      </c>
      <c r="F43" s="105">
        <f>'NOMINA EMPELADOS CDO'!P21</f>
        <v>0</v>
      </c>
      <c r="G43" s="101"/>
      <c r="H43" s="100" t="s">
        <v>96</v>
      </c>
      <c r="I43" s="101">
        <f>'NOMINA EMPELADOS CDO'!Q21</f>
        <v>0</v>
      </c>
      <c r="J43" s="92"/>
      <c r="K43" s="92"/>
      <c r="L43" s="96"/>
      <c r="M43" s="84"/>
    </row>
    <row r="44" spans="2:13" ht="30" customHeight="1">
      <c r="B44" s="83"/>
      <c r="C44" s="103" t="s">
        <v>87</v>
      </c>
      <c r="D44" s="104"/>
      <c r="E44" s="105" t="s">
        <v>86</v>
      </c>
      <c r="F44" s="105">
        <f>'NOMINA EMPELADOS CDO'!R21</f>
        <v>0</v>
      </c>
      <c r="G44" s="101"/>
      <c r="H44" s="100" t="s">
        <v>96</v>
      </c>
      <c r="I44" s="101">
        <f>'NOMINA EMPELADOS CDO'!S21</f>
        <v>0</v>
      </c>
      <c r="J44" s="92"/>
      <c r="K44" s="92"/>
      <c r="L44" s="96"/>
      <c r="M44" s="84"/>
    </row>
    <row r="45" spans="2:13" ht="30" customHeight="1">
      <c r="B45" s="83"/>
      <c r="C45" s="103" t="s">
        <v>55</v>
      </c>
      <c r="D45" s="104"/>
      <c r="E45" s="105" t="s">
        <v>86</v>
      </c>
      <c r="F45" s="105">
        <f>'NOMINA EMPELADOS CDO'!M21</f>
        <v>0</v>
      </c>
      <c r="G45" s="101"/>
      <c r="H45" s="100" t="s">
        <v>96</v>
      </c>
      <c r="I45" s="101">
        <f>'NOMINA EMPELADOS CDO'!O21</f>
        <v>0</v>
      </c>
      <c r="J45" s="92"/>
      <c r="K45" s="92"/>
      <c r="L45" s="96"/>
      <c r="M45" s="84"/>
    </row>
    <row r="46" spans="2:13" ht="30" customHeight="1">
      <c r="B46" s="83"/>
      <c r="C46" s="106" t="s">
        <v>88</v>
      </c>
      <c r="D46" s="107"/>
      <c r="E46" s="105" t="s">
        <v>89</v>
      </c>
      <c r="F46" s="105"/>
      <c r="G46" s="101"/>
      <c r="H46" s="100" t="s">
        <v>96</v>
      </c>
      <c r="I46" s="101">
        <f>'NOMINA EMPELADOS CDO'!T21</f>
        <v>0</v>
      </c>
      <c r="J46" s="92"/>
      <c r="K46" s="92"/>
      <c r="L46" s="96"/>
      <c r="M46" s="84"/>
    </row>
    <row r="47" spans="2:13" ht="30" customHeight="1">
      <c r="B47" s="83"/>
      <c r="C47" s="106" t="s">
        <v>54</v>
      </c>
      <c r="D47" s="107"/>
      <c r="E47" s="105" t="s">
        <v>86</v>
      </c>
      <c r="F47" s="105">
        <f>'NOMINA EMPELADOS CDO'!I21</f>
        <v>0</v>
      </c>
      <c r="G47" s="101"/>
      <c r="H47" s="100" t="s">
        <v>96</v>
      </c>
      <c r="I47" s="101">
        <f>'NOMINA EMPELADOS CDO'!J21</f>
        <v>0</v>
      </c>
      <c r="J47" s="92"/>
      <c r="K47" s="92"/>
      <c r="L47" s="96"/>
      <c r="M47" s="84"/>
    </row>
    <row r="48" spans="2:13" ht="30" customHeight="1">
      <c r="B48" s="83"/>
      <c r="C48" s="106" t="s">
        <v>90</v>
      </c>
      <c r="D48" s="107"/>
      <c r="E48" s="105" t="s">
        <v>89</v>
      </c>
      <c r="F48" s="184"/>
      <c r="G48" s="184"/>
      <c r="H48" s="100" t="s">
        <v>96</v>
      </c>
      <c r="I48" s="101">
        <f>'NOMINA EMPELADOS CDO'!P12</f>
        <v>0</v>
      </c>
      <c r="J48" s="92"/>
      <c r="K48" s="92"/>
      <c r="L48" s="96"/>
      <c r="M48" s="84"/>
    </row>
    <row r="49" spans="2:13" ht="30" customHeight="1">
      <c r="B49" s="83"/>
      <c r="C49" s="106" t="s">
        <v>91</v>
      </c>
      <c r="D49" s="92"/>
      <c r="E49" s="108"/>
      <c r="F49" s="109">
        <f>'NOMINA EMPELADOS CDO'!R12</f>
        <v>0</v>
      </c>
      <c r="G49" s="108" t="s">
        <v>92</v>
      </c>
      <c r="H49" s="100" t="s">
        <v>96</v>
      </c>
      <c r="I49" s="101">
        <f>'NOMINA EMPELADOS CDO'!S12</f>
        <v>0</v>
      </c>
      <c r="J49" s="92"/>
      <c r="K49" s="92"/>
      <c r="L49" s="96"/>
      <c r="M49" s="84"/>
    </row>
    <row r="50" spans="2:13" ht="30" customHeight="1">
      <c r="B50" s="83"/>
      <c r="C50" s="106" t="s">
        <v>17</v>
      </c>
      <c r="D50" s="110"/>
      <c r="E50" s="105"/>
      <c r="F50" s="111"/>
      <c r="G50" s="101"/>
      <c r="H50" s="100" t="s">
        <v>96</v>
      </c>
      <c r="I50" s="112">
        <f>+'NOMINA EMPELADOS CDO'!O12</f>
        <v>8442.384</v>
      </c>
      <c r="J50" s="113"/>
      <c r="K50" s="92"/>
      <c r="L50" s="96"/>
      <c r="M50" s="84"/>
    </row>
    <row r="51" spans="2:13" ht="39.950000000000003" customHeight="1">
      <c r="B51" s="83"/>
      <c r="C51" s="103"/>
      <c r="D51" s="92"/>
      <c r="E51" s="185" t="s">
        <v>93</v>
      </c>
      <c r="F51" s="185"/>
      <c r="G51" s="185"/>
      <c r="H51" s="100" t="s">
        <v>96</v>
      </c>
      <c r="I51" s="115">
        <f>SUM(I42:I50)</f>
        <v>9742.384</v>
      </c>
      <c r="J51" s="116"/>
      <c r="K51" s="92"/>
      <c r="L51" s="96"/>
      <c r="M51" s="84"/>
    </row>
    <row r="52" spans="2:13" ht="39.75" customHeight="1">
      <c r="B52" s="83"/>
      <c r="C52" s="180" t="s">
        <v>94</v>
      </c>
      <c r="D52" s="181"/>
      <c r="E52" s="92"/>
      <c r="F52" s="92"/>
      <c r="G52" s="92"/>
      <c r="H52" s="92"/>
      <c r="I52" s="92"/>
      <c r="J52" s="92"/>
      <c r="K52" s="92"/>
      <c r="L52" s="96"/>
      <c r="M52" s="84"/>
    </row>
    <row r="53" spans="2:13" ht="30" customHeight="1">
      <c r="B53" s="83"/>
      <c r="C53" s="103" t="s">
        <v>95</v>
      </c>
      <c r="D53" s="92"/>
      <c r="E53" s="111"/>
      <c r="F53" s="100" t="s">
        <v>96</v>
      </c>
      <c r="G53" s="117">
        <f>'NOMINA EMPELADOS CDO'!U12</f>
        <v>24</v>
      </c>
      <c r="H53" s="92"/>
      <c r="I53" s="101"/>
      <c r="J53" s="92"/>
      <c r="K53" s="92"/>
      <c r="L53" s="96"/>
      <c r="M53" s="84"/>
    </row>
    <row r="54" spans="2:13" ht="30" customHeight="1">
      <c r="B54" s="83"/>
      <c r="C54" s="103" t="s">
        <v>29</v>
      </c>
      <c r="D54" s="92"/>
      <c r="E54" s="111"/>
      <c r="F54" s="100" t="s">
        <v>96</v>
      </c>
      <c r="G54" s="117">
        <f>'NOMINA EMPELADOS CDO'!X12</f>
        <v>759.90595200000007</v>
      </c>
      <c r="H54" s="92"/>
      <c r="I54" s="101"/>
      <c r="J54" s="92"/>
      <c r="K54" s="92"/>
      <c r="L54" s="96"/>
      <c r="M54" s="84"/>
    </row>
    <row r="55" spans="2:13" ht="30" customHeight="1">
      <c r="B55" s="83"/>
      <c r="C55" s="103" t="s">
        <v>97</v>
      </c>
      <c r="D55" s="92"/>
      <c r="E55" s="111"/>
      <c r="F55" s="100" t="s">
        <v>96</v>
      </c>
      <c r="G55" s="117">
        <f>'NOMINA EMPELADOS CDO'!W12</f>
        <v>730.67880000000002</v>
      </c>
      <c r="H55" s="92"/>
      <c r="I55" s="101"/>
      <c r="J55" s="92"/>
      <c r="K55" s="92"/>
      <c r="L55" s="96"/>
      <c r="M55" s="84"/>
    </row>
    <row r="56" spans="2:13" ht="30" customHeight="1">
      <c r="B56" s="83"/>
      <c r="C56" s="103" t="s">
        <v>98</v>
      </c>
      <c r="D56" s="92"/>
      <c r="E56" s="111"/>
      <c r="F56" s="100" t="s">
        <v>96</v>
      </c>
      <c r="G56" s="117">
        <f>'NOMINA EMPELADOS CDO'!V12</f>
        <v>6</v>
      </c>
      <c r="H56" s="92"/>
      <c r="I56" s="101"/>
      <c r="J56" s="92"/>
      <c r="K56" s="92"/>
      <c r="L56" s="96"/>
      <c r="M56" s="84"/>
    </row>
    <row r="57" spans="2:13" ht="30" customHeight="1">
      <c r="B57" s="83"/>
      <c r="C57" s="103" t="s">
        <v>99</v>
      </c>
      <c r="D57" s="92"/>
      <c r="E57" s="111" t="s">
        <v>104</v>
      </c>
      <c r="F57" s="100" t="s">
        <v>96</v>
      </c>
      <c r="G57" s="117">
        <f>'NOMINA EMPELADOS CDO'!Y12</f>
        <v>0</v>
      </c>
      <c r="H57" s="92"/>
      <c r="I57" s="101"/>
      <c r="J57" s="92"/>
      <c r="K57" s="92"/>
      <c r="L57" s="96"/>
      <c r="M57" s="84"/>
    </row>
    <row r="58" spans="2:13" ht="30" customHeight="1">
      <c r="B58" s="83"/>
      <c r="C58" s="103" t="s">
        <v>100</v>
      </c>
      <c r="D58" s="92"/>
      <c r="E58" s="111"/>
      <c r="F58" s="100" t="s">
        <v>96</v>
      </c>
      <c r="G58" s="118">
        <f>'NOMINA EMPELADOS CDO'!Z12</f>
        <v>0</v>
      </c>
      <c r="H58" s="92"/>
      <c r="I58" s="101"/>
      <c r="J58" s="92"/>
      <c r="K58" s="92"/>
      <c r="L58" s="96"/>
      <c r="M58" s="84"/>
    </row>
    <row r="59" spans="2:13" ht="50.1" customHeight="1">
      <c r="B59" s="83"/>
      <c r="C59" s="186" t="s">
        <v>101</v>
      </c>
      <c r="D59" s="187"/>
      <c r="E59" s="187"/>
      <c r="F59" s="100" t="s">
        <v>96</v>
      </c>
      <c r="G59" s="119">
        <f>SUM(G53:G58)</f>
        <v>1520.5847520000002</v>
      </c>
      <c r="H59" s="188" t="s">
        <v>105</v>
      </c>
      <c r="I59" s="188"/>
      <c r="J59" s="188"/>
      <c r="K59" s="120">
        <f>I51-G59</f>
        <v>8221.7992479999994</v>
      </c>
      <c r="L59" s="96"/>
      <c r="M59" s="84"/>
    </row>
    <row r="60" spans="2:13" ht="35.1" customHeight="1">
      <c r="B60" s="83"/>
      <c r="C60" s="103"/>
      <c r="D60" s="92"/>
      <c r="E60" s="94"/>
      <c r="F60" s="94"/>
      <c r="G60" s="94"/>
      <c r="H60" s="94"/>
      <c r="I60" s="121"/>
      <c r="J60" s="121"/>
      <c r="K60" s="92"/>
      <c r="L60" s="96"/>
      <c r="M60" s="84"/>
    </row>
    <row r="61" spans="2:13" ht="60" customHeight="1">
      <c r="B61" s="83"/>
      <c r="C61" s="189"/>
      <c r="D61" s="190"/>
      <c r="E61" s="190"/>
      <c r="F61" s="94"/>
      <c r="G61" s="132"/>
      <c r="H61" s="94"/>
      <c r="I61" s="121"/>
      <c r="J61" s="194" t="s">
        <v>103</v>
      </c>
      <c r="K61" s="101"/>
      <c r="L61" s="96"/>
      <c r="M61" s="84"/>
    </row>
    <row r="62" spans="2:13" ht="35.1" customHeight="1">
      <c r="B62" s="83"/>
      <c r="C62" s="103"/>
      <c r="D62" s="92"/>
      <c r="E62" s="92"/>
      <c r="F62" s="92"/>
      <c r="G62" s="92"/>
      <c r="H62" s="92"/>
      <c r="I62" s="92"/>
      <c r="J62" s="195" t="s">
        <v>103</v>
      </c>
      <c r="K62" s="122"/>
      <c r="L62" s="123"/>
      <c r="M62" s="84"/>
    </row>
    <row r="63" spans="2:13" ht="9.9499999999999993" customHeight="1">
      <c r="B63" s="83"/>
      <c r="C63" s="124"/>
      <c r="D63" s="125"/>
      <c r="E63" s="125"/>
      <c r="F63" s="125"/>
      <c r="G63" s="126"/>
      <c r="H63" s="125"/>
      <c r="I63" s="125"/>
      <c r="J63" s="125"/>
      <c r="K63" s="125"/>
      <c r="L63" s="127"/>
      <c r="M63" s="84"/>
    </row>
    <row r="64" spans="2:13" ht="5.0999999999999996" customHeight="1">
      <c r="B64" s="128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30"/>
    </row>
    <row r="65" spans="2:13" ht="6" customHeight="1">
      <c r="B65" s="128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30"/>
    </row>
    <row r="66" spans="2:13" ht="120" customHeight="1"/>
    <row r="67" spans="2:13" ht="5.0999999999999996" hidden="1" customHeight="1">
      <c r="B67" s="80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2"/>
    </row>
    <row r="68" spans="2:13" ht="69.95" hidden="1" customHeight="1">
      <c r="B68" s="83"/>
      <c r="C68" s="191" t="str">
        <f>+C35</f>
        <v>COMERCIALIZADORA CASA DULCE ORIENTE, C.A.                                                             RIF: J-50223534-5</v>
      </c>
      <c r="D68" s="192"/>
      <c r="E68" s="192"/>
      <c r="F68" s="192"/>
      <c r="G68" s="192"/>
      <c r="H68" s="192"/>
      <c r="I68" s="192"/>
      <c r="J68" s="192"/>
      <c r="K68" s="192"/>
      <c r="L68" s="193"/>
      <c r="M68" s="84"/>
    </row>
    <row r="69" spans="2:13" ht="45" hidden="1" customHeight="1">
      <c r="B69" s="83"/>
      <c r="C69" s="168" t="s">
        <v>73</v>
      </c>
      <c r="D69" s="169"/>
      <c r="E69" s="169"/>
      <c r="F69" s="169"/>
      <c r="G69" s="169"/>
      <c r="H69" s="169"/>
      <c r="I69" s="169"/>
      <c r="J69" s="170"/>
      <c r="K69" s="85" t="s">
        <v>74</v>
      </c>
      <c r="L69" s="85">
        <f>'NOMINA EMPELADOS CDO'!B15</f>
        <v>5</v>
      </c>
      <c r="M69" s="84"/>
    </row>
    <row r="70" spans="2:13" ht="45" hidden="1" customHeight="1">
      <c r="B70" s="83"/>
      <c r="C70" s="171" t="str">
        <f>'NOMINA EMPELADOS CDO'!C6</f>
        <v>DESDE EL 01/04 AL  30/04/2026</v>
      </c>
      <c r="D70" s="172"/>
      <c r="E70" s="172"/>
      <c r="F70" s="172"/>
      <c r="G70" s="172"/>
      <c r="H70" s="172"/>
      <c r="I70" s="172"/>
      <c r="J70" s="172"/>
      <c r="K70" s="172"/>
      <c r="L70" s="173"/>
      <c r="M70" s="84"/>
    </row>
    <row r="71" spans="2:13" ht="5.0999999999999996" hidden="1" customHeight="1">
      <c r="B71" s="83"/>
      <c r="C71" s="86"/>
      <c r="D71" s="87"/>
      <c r="E71" s="87"/>
      <c r="F71" s="87"/>
      <c r="G71" s="87"/>
      <c r="H71" s="87"/>
      <c r="I71" s="87"/>
      <c r="J71" s="87"/>
      <c r="K71" s="87"/>
      <c r="L71" s="87"/>
      <c r="M71" s="84"/>
    </row>
    <row r="72" spans="2:13" ht="54.95" hidden="1" customHeight="1">
      <c r="B72" s="83"/>
      <c r="C72" s="88" t="s">
        <v>75</v>
      </c>
      <c r="D72" s="89"/>
      <c r="E72" s="174" t="str">
        <f>'NOMINA EMPELADOS CDO'!C15</f>
        <v xml:space="preserve"> MARIA VICTORIA GUAITA CANELON</v>
      </c>
      <c r="F72" s="174"/>
      <c r="G72" s="174"/>
      <c r="H72" s="174"/>
      <c r="I72" s="174"/>
      <c r="J72" s="90" t="s">
        <v>76</v>
      </c>
      <c r="K72" s="175">
        <f>'NOMINA EMPELADOS CDO'!D15</f>
        <v>31311552</v>
      </c>
      <c r="L72" s="176"/>
      <c r="M72" s="84"/>
    </row>
    <row r="73" spans="2:13" ht="54.95" hidden="1" customHeight="1">
      <c r="B73" s="83"/>
      <c r="C73" s="91" t="s">
        <v>77</v>
      </c>
      <c r="D73" s="92"/>
      <c r="E73" s="93">
        <f>'NOMINA EMPELADOS CDO'!F15</f>
        <v>45839</v>
      </c>
      <c r="F73" s="94" t="s">
        <v>78</v>
      </c>
      <c r="G73" s="177" t="str">
        <f>'NOMINA EMPELADOS CDO'!G15</f>
        <v>CAJERA</v>
      </c>
      <c r="H73" s="177"/>
      <c r="I73" s="177"/>
      <c r="J73" s="94" t="s">
        <v>79</v>
      </c>
      <c r="K73" s="178" t="s">
        <v>106</v>
      </c>
      <c r="L73" s="179"/>
      <c r="M73" s="84"/>
    </row>
    <row r="74" spans="2:13" ht="39.950000000000003" hidden="1" customHeight="1">
      <c r="B74" s="83"/>
      <c r="C74" s="180" t="s">
        <v>80</v>
      </c>
      <c r="D74" s="181"/>
      <c r="E74" s="92"/>
      <c r="F74" s="92"/>
      <c r="G74" s="95"/>
      <c r="H74" s="95"/>
      <c r="I74" s="95"/>
      <c r="J74" s="92"/>
      <c r="K74" s="92"/>
      <c r="L74" s="96"/>
      <c r="M74" s="84"/>
    </row>
    <row r="75" spans="2:13" ht="60" hidden="1" customHeight="1">
      <c r="B75" s="83"/>
      <c r="C75" s="97" t="s">
        <v>81</v>
      </c>
      <c r="D75" s="98">
        <f>'NOMINA EMPELADOS CDO'!I15</f>
        <v>30</v>
      </c>
      <c r="E75" s="182" t="s">
        <v>82</v>
      </c>
      <c r="F75" s="182"/>
      <c r="G75" s="99">
        <f>'NOMINA EMPELADOS CDO'!J15</f>
        <v>43.333333333333336</v>
      </c>
      <c r="H75" s="100" t="s">
        <v>83</v>
      </c>
      <c r="I75" s="101">
        <f>G75*D75</f>
        <v>1300</v>
      </c>
      <c r="J75" s="183" t="s">
        <v>84</v>
      </c>
      <c r="K75" s="183"/>
      <c r="L75" s="102">
        <f>G75*30</f>
        <v>1300</v>
      </c>
      <c r="M75" s="84"/>
    </row>
    <row r="76" spans="2:13" ht="30" hidden="1" customHeight="1">
      <c r="B76" s="83"/>
      <c r="C76" s="103" t="s">
        <v>85</v>
      </c>
      <c r="D76" s="104"/>
      <c r="E76" s="105" t="s">
        <v>86</v>
      </c>
      <c r="F76" s="105">
        <f>'NOMINA EMPELADOS CDO'!P56</f>
        <v>0</v>
      </c>
      <c r="G76" s="101"/>
      <c r="H76" s="100" t="s">
        <v>83</v>
      </c>
      <c r="I76" s="101">
        <f>'NOMINA EMPELADOS CDO'!Q56</f>
        <v>0</v>
      </c>
      <c r="J76" s="92"/>
      <c r="K76" s="92"/>
      <c r="L76" s="96"/>
      <c r="M76" s="84"/>
    </row>
    <row r="77" spans="2:13" ht="30" hidden="1" customHeight="1">
      <c r="B77" s="83"/>
      <c r="C77" s="103" t="s">
        <v>87</v>
      </c>
      <c r="D77" s="104"/>
      <c r="E77" s="105" t="s">
        <v>86</v>
      </c>
      <c r="F77" s="105">
        <f>'NOMINA EMPELADOS CDO'!R56</f>
        <v>0</v>
      </c>
      <c r="G77" s="101"/>
      <c r="H77" s="100" t="s">
        <v>83</v>
      </c>
      <c r="I77" s="101">
        <f>'NOMINA EMPELADOS CDO'!S56</f>
        <v>0</v>
      </c>
      <c r="J77" s="92"/>
      <c r="K77" s="92"/>
      <c r="L77" s="96"/>
      <c r="M77" s="84"/>
    </row>
    <row r="78" spans="2:13" ht="30" hidden="1" customHeight="1">
      <c r="B78" s="83"/>
      <c r="C78" s="103" t="s">
        <v>55</v>
      </c>
      <c r="D78" s="104"/>
      <c r="E78" s="105" t="s">
        <v>86</v>
      </c>
      <c r="F78" s="105">
        <f>'NOMINA EMPELADOS CDO'!M56</f>
        <v>0</v>
      </c>
      <c r="G78" s="101"/>
      <c r="H78" s="100" t="s">
        <v>83</v>
      </c>
      <c r="I78" s="101">
        <f>'NOMINA EMPELADOS CDO'!O56</f>
        <v>0</v>
      </c>
      <c r="J78" s="92"/>
      <c r="K78" s="92"/>
      <c r="L78" s="96"/>
      <c r="M78" s="84"/>
    </row>
    <row r="79" spans="2:13" ht="30" hidden="1" customHeight="1">
      <c r="B79" s="83"/>
      <c r="C79" s="106" t="s">
        <v>88</v>
      </c>
      <c r="D79" s="107"/>
      <c r="E79" s="105" t="s">
        <v>89</v>
      </c>
      <c r="F79" s="105"/>
      <c r="G79" s="101"/>
      <c r="H79" s="100" t="s">
        <v>83</v>
      </c>
      <c r="I79" s="101">
        <f>'NOMINA EMPELADOS CDO'!T56</f>
        <v>0</v>
      </c>
      <c r="J79" s="92"/>
      <c r="K79" s="92"/>
      <c r="L79" s="96"/>
      <c r="M79" s="84"/>
    </row>
    <row r="80" spans="2:13" ht="30" hidden="1" customHeight="1">
      <c r="B80" s="83"/>
      <c r="C80" s="106" t="s">
        <v>54</v>
      </c>
      <c r="D80" s="107"/>
      <c r="E80" s="105" t="s">
        <v>86</v>
      </c>
      <c r="F80" s="105">
        <f>'NOMINA EMPELADOS CDO'!I56</f>
        <v>0</v>
      </c>
      <c r="G80" s="101"/>
      <c r="H80" s="100" t="s">
        <v>83</v>
      </c>
      <c r="I80" s="101">
        <f>'NOMINA EMPELADOS CDO'!J56</f>
        <v>0</v>
      </c>
      <c r="J80" s="92"/>
      <c r="K80" s="92"/>
      <c r="L80" s="96"/>
      <c r="M80" s="84"/>
    </row>
    <row r="81" spans="2:13" ht="30" hidden="1" customHeight="1">
      <c r="B81" s="83"/>
      <c r="C81" s="106" t="s">
        <v>90</v>
      </c>
      <c r="D81" s="107"/>
      <c r="E81" s="105" t="s">
        <v>89</v>
      </c>
      <c r="F81" s="184"/>
      <c r="G81" s="184"/>
      <c r="H81" s="100" t="s">
        <v>83</v>
      </c>
      <c r="I81" s="101">
        <f>'NOMINA EMPELADOS CDO'!P49</f>
        <v>0</v>
      </c>
      <c r="J81" s="92"/>
      <c r="K81" s="92"/>
      <c r="L81" s="96"/>
      <c r="M81" s="84"/>
    </row>
    <row r="82" spans="2:13" ht="30" hidden="1" customHeight="1">
      <c r="B82" s="83"/>
      <c r="C82" s="106" t="s">
        <v>91</v>
      </c>
      <c r="D82" s="92"/>
      <c r="E82" s="108"/>
      <c r="F82" s="109"/>
      <c r="G82" s="108" t="s">
        <v>92</v>
      </c>
      <c r="H82" s="100" t="s">
        <v>83</v>
      </c>
      <c r="I82" s="101">
        <f>'NOMINA EMPELADOS CDO'!S49</f>
        <v>0</v>
      </c>
      <c r="J82" s="92"/>
      <c r="K82" s="92"/>
      <c r="L82" s="96"/>
      <c r="M82" s="84"/>
    </row>
    <row r="83" spans="2:13" ht="30" hidden="1" customHeight="1">
      <c r="B83" s="83"/>
      <c r="C83" s="106" t="s">
        <v>17</v>
      </c>
      <c r="D83" s="110"/>
      <c r="E83" s="105"/>
      <c r="F83" s="111"/>
      <c r="G83" s="101"/>
      <c r="H83" s="100" t="s">
        <v>83</v>
      </c>
      <c r="I83" s="112">
        <f>+'NOMINA EMPELADOS CDO'!O13</f>
        <v>8442.384</v>
      </c>
      <c r="J83" s="113"/>
      <c r="K83" s="92"/>
      <c r="L83" s="96"/>
      <c r="M83" s="84"/>
    </row>
    <row r="84" spans="2:13" ht="39.950000000000003" hidden="1" customHeight="1">
      <c r="B84" s="83"/>
      <c r="C84" s="103"/>
      <c r="D84" s="92"/>
      <c r="E84" s="185" t="s">
        <v>93</v>
      </c>
      <c r="F84" s="185"/>
      <c r="G84" s="185"/>
      <c r="H84" s="114" t="s">
        <v>83</v>
      </c>
      <c r="I84" s="115">
        <f>SUM(I75:I83)</f>
        <v>9742.384</v>
      </c>
      <c r="J84" s="116"/>
      <c r="K84" s="92"/>
      <c r="L84" s="96"/>
      <c r="M84" s="84"/>
    </row>
    <row r="85" spans="2:13" ht="39.950000000000003" hidden="1" customHeight="1">
      <c r="B85" s="83"/>
      <c r="C85" s="180" t="s">
        <v>94</v>
      </c>
      <c r="D85" s="181"/>
      <c r="E85" s="92"/>
      <c r="F85" s="92"/>
      <c r="G85" s="92"/>
      <c r="H85" s="92"/>
      <c r="I85" s="92"/>
      <c r="J85" s="92"/>
      <c r="K85" s="92"/>
      <c r="L85" s="96"/>
      <c r="M85" s="84"/>
    </row>
    <row r="86" spans="2:13" ht="30" hidden="1" customHeight="1">
      <c r="B86" s="83"/>
      <c r="C86" s="103" t="s">
        <v>95</v>
      </c>
      <c r="D86" s="92"/>
      <c r="E86" s="111"/>
      <c r="F86" s="100" t="s">
        <v>96</v>
      </c>
      <c r="G86" s="117">
        <f>'NOMINA EMPELADOS CDO'!U15</f>
        <v>24</v>
      </c>
      <c r="H86" s="92"/>
      <c r="I86" s="101"/>
      <c r="J86" s="92"/>
      <c r="K86" s="92"/>
      <c r="L86" s="96"/>
      <c r="M86" s="84"/>
    </row>
    <row r="87" spans="2:13" ht="30" hidden="1" customHeight="1">
      <c r="B87" s="83"/>
      <c r="C87" s="103" t="s">
        <v>29</v>
      </c>
      <c r="D87" s="92"/>
      <c r="E87" s="111"/>
      <c r="F87" s="100" t="s">
        <v>96</v>
      </c>
      <c r="G87" s="117">
        <f>'NOMINA EMPELADOS CDO'!X15</f>
        <v>1220.233596</v>
      </c>
      <c r="H87" s="92"/>
      <c r="I87" s="101"/>
      <c r="J87" s="92"/>
      <c r="K87" s="92"/>
      <c r="L87" s="96"/>
      <c r="M87" s="84"/>
    </row>
    <row r="88" spans="2:13" ht="30" hidden="1" customHeight="1">
      <c r="B88" s="83"/>
      <c r="C88" s="103" t="s">
        <v>97</v>
      </c>
      <c r="D88" s="92"/>
      <c r="E88" s="111"/>
      <c r="F88" s="100" t="s">
        <v>96</v>
      </c>
      <c r="G88" s="117">
        <f>'NOMINA EMPELADOS CDO'!W15</f>
        <v>730.67880000000002</v>
      </c>
      <c r="H88" s="92"/>
      <c r="I88" s="101"/>
      <c r="J88" s="92"/>
      <c r="K88" s="92"/>
      <c r="L88" s="96"/>
      <c r="M88" s="84"/>
    </row>
    <row r="89" spans="2:13" ht="30" hidden="1" customHeight="1">
      <c r="B89" s="83"/>
      <c r="C89" s="103" t="s">
        <v>98</v>
      </c>
      <c r="D89" s="92"/>
      <c r="E89" s="111"/>
      <c r="F89" s="100" t="s">
        <v>96</v>
      </c>
      <c r="G89" s="117">
        <f>'NOMINA EMPELADOS CDO'!V15</f>
        <v>6</v>
      </c>
      <c r="H89" s="92"/>
      <c r="I89" s="101"/>
      <c r="J89" s="92"/>
      <c r="K89" s="92"/>
      <c r="L89" s="96"/>
      <c r="M89" s="84"/>
    </row>
    <row r="90" spans="2:13" ht="30" hidden="1" customHeight="1">
      <c r="B90" s="83"/>
      <c r="C90" s="103" t="s">
        <v>99</v>
      </c>
      <c r="D90" s="92"/>
      <c r="E90" s="111"/>
      <c r="F90" s="100" t="s">
        <v>96</v>
      </c>
      <c r="G90" s="117">
        <f>'NOMINA EMPELADOS CDO'!Y15</f>
        <v>0</v>
      </c>
      <c r="H90" s="92"/>
      <c r="I90" s="101"/>
      <c r="J90" s="92"/>
      <c r="K90" s="92"/>
      <c r="L90" s="96"/>
      <c r="M90" s="84"/>
    </row>
    <row r="91" spans="2:13" ht="30" hidden="1" customHeight="1">
      <c r="B91" s="83"/>
      <c r="C91" s="103" t="s">
        <v>100</v>
      </c>
      <c r="D91" s="92"/>
      <c r="E91" s="111"/>
      <c r="F91" s="100" t="s">
        <v>96</v>
      </c>
      <c r="G91" s="118">
        <f>'NOMINA EMPELADOS CDO'!Z15</f>
        <v>0</v>
      </c>
      <c r="H91" s="92"/>
      <c r="I91" s="101"/>
      <c r="J91" s="92"/>
      <c r="K91" s="92"/>
      <c r="L91" s="96"/>
      <c r="M91" s="84"/>
    </row>
    <row r="92" spans="2:13" ht="50.1" hidden="1" customHeight="1">
      <c r="B92" s="83"/>
      <c r="C92" s="186" t="s">
        <v>101</v>
      </c>
      <c r="D92" s="187"/>
      <c r="E92" s="187"/>
      <c r="F92" s="100" t="s">
        <v>96</v>
      </c>
      <c r="G92" s="119">
        <f>SUM(G86:G91)</f>
        <v>1980.9123960000002</v>
      </c>
      <c r="H92" s="188" t="s">
        <v>102</v>
      </c>
      <c r="I92" s="188"/>
      <c r="J92" s="188"/>
      <c r="K92" s="120">
        <f>I84-G92</f>
        <v>7761.4716040000003</v>
      </c>
      <c r="L92" s="96"/>
      <c r="M92" s="84"/>
    </row>
    <row r="93" spans="2:13" ht="35.1" hidden="1" customHeight="1">
      <c r="B93" s="83"/>
      <c r="C93" s="103"/>
      <c r="D93" s="92"/>
      <c r="E93" s="94"/>
      <c r="F93" s="94"/>
      <c r="G93" s="94"/>
      <c r="H93" s="94"/>
      <c r="I93" s="121"/>
      <c r="J93" s="121"/>
      <c r="K93" s="92"/>
      <c r="L93" s="96"/>
      <c r="M93" s="84"/>
    </row>
    <row r="94" spans="2:13" ht="64.5" hidden="1" customHeight="1">
      <c r="B94" s="83"/>
      <c r="C94" s="189"/>
      <c r="D94" s="190"/>
      <c r="E94" s="190"/>
      <c r="F94" s="94"/>
      <c r="G94" s="132"/>
      <c r="H94" s="94"/>
      <c r="I94" s="121"/>
      <c r="J94" s="194" t="s">
        <v>103</v>
      </c>
      <c r="K94" s="92"/>
      <c r="L94" s="96"/>
      <c r="M94" s="84"/>
    </row>
    <row r="95" spans="2:13" ht="35.1" hidden="1" customHeight="1">
      <c r="B95" s="83"/>
      <c r="C95" s="103"/>
      <c r="D95" s="92"/>
      <c r="E95" s="92"/>
      <c r="F95" s="92"/>
      <c r="G95" s="92"/>
      <c r="H95" s="92"/>
      <c r="I95" s="92"/>
      <c r="J95" s="195" t="s">
        <v>103</v>
      </c>
      <c r="K95" s="122"/>
      <c r="L95" s="123"/>
      <c r="M95" s="84"/>
    </row>
    <row r="96" spans="2:13" ht="9.9499999999999993" hidden="1" customHeight="1">
      <c r="B96" s="83"/>
      <c r="C96" s="124"/>
      <c r="D96" s="125"/>
      <c r="E96" s="125"/>
      <c r="F96" s="125"/>
      <c r="G96" s="126"/>
      <c r="H96" s="125"/>
      <c r="I96" s="125"/>
      <c r="J96" s="125"/>
      <c r="K96" s="125"/>
      <c r="L96" s="127"/>
      <c r="M96" s="84"/>
    </row>
    <row r="97" spans="2:13" ht="5.0999999999999996" hidden="1" customHeight="1">
      <c r="B97" s="128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30"/>
    </row>
    <row r="98" spans="2:13" hidden="1"/>
  </sheetData>
  <mergeCells count="51">
    <mergeCell ref="C94:E94"/>
    <mergeCell ref="J29:J30"/>
    <mergeCell ref="J61:J62"/>
    <mergeCell ref="J94:J95"/>
    <mergeCell ref="F81:G81"/>
    <mergeCell ref="E84:G84"/>
    <mergeCell ref="C85:D85"/>
    <mergeCell ref="C92:E92"/>
    <mergeCell ref="H92:J92"/>
    <mergeCell ref="G73:I73"/>
    <mergeCell ref="K73:L73"/>
    <mergeCell ref="C74:D74"/>
    <mergeCell ref="E75:F75"/>
    <mergeCell ref="J75:K75"/>
    <mergeCell ref="C61:E61"/>
    <mergeCell ref="C68:L68"/>
    <mergeCell ref="C69:J69"/>
    <mergeCell ref="C70:L70"/>
    <mergeCell ref="E72:I72"/>
    <mergeCell ref="K72:L72"/>
    <mergeCell ref="F48:G48"/>
    <mergeCell ref="E51:G51"/>
    <mergeCell ref="C52:D52"/>
    <mergeCell ref="C59:E59"/>
    <mergeCell ref="H59:J59"/>
    <mergeCell ref="G40:I40"/>
    <mergeCell ref="K40:L40"/>
    <mergeCell ref="C41:D41"/>
    <mergeCell ref="E42:F42"/>
    <mergeCell ref="J42:K42"/>
    <mergeCell ref="C29:E29"/>
    <mergeCell ref="C35:L35"/>
    <mergeCell ref="C36:J36"/>
    <mergeCell ref="C37:L37"/>
    <mergeCell ref="E39:I39"/>
    <mergeCell ref="K39:L39"/>
    <mergeCell ref="F16:G16"/>
    <mergeCell ref="E19:G19"/>
    <mergeCell ref="C20:D20"/>
    <mergeCell ref="C27:E27"/>
    <mergeCell ref="H27:J27"/>
    <mergeCell ref="G8:I8"/>
    <mergeCell ref="K8:L8"/>
    <mergeCell ref="C9:D9"/>
    <mergeCell ref="E10:F10"/>
    <mergeCell ref="J10:K10"/>
    <mergeCell ref="C3:L3"/>
    <mergeCell ref="C4:J4"/>
    <mergeCell ref="C5:L5"/>
    <mergeCell ref="E7:I7"/>
    <mergeCell ref="K7:L7"/>
  </mergeCells>
  <printOptions horizontalCentered="1" verticalCentered="1"/>
  <pageMargins left="0.39370078740157499" right="0.39370078740157499" top="0.39370078740157499" bottom="0.39370078740157499" header="0" footer="0"/>
  <pageSetup paperSize="119" scale="29" orientation="portrait" horizontalDpi="120" verticalDpi="7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99"/>
  <sheetViews>
    <sheetView topLeftCell="A13" zoomScale="50" zoomScaleNormal="50" workbookViewId="0">
      <selection activeCell="G29" sqref="G29"/>
    </sheetView>
  </sheetViews>
  <sheetFormatPr baseColWidth="10" defaultColWidth="11" defaultRowHeight="12.75"/>
  <cols>
    <col min="1" max="1" width="3.7109375" customWidth="1"/>
    <col min="2" max="2" width="0.85546875" customWidth="1"/>
    <col min="3" max="3" width="32.7109375" customWidth="1"/>
    <col min="4" max="4" width="20.7109375" customWidth="1"/>
    <col min="5" max="5" width="32.7109375" customWidth="1"/>
    <col min="6" max="6" width="18.7109375" customWidth="1"/>
    <col min="7" max="7" width="30.7109375" customWidth="1"/>
    <col min="8" max="8" width="18.7109375" customWidth="1"/>
    <col min="9" max="9" width="30.7109375" customWidth="1"/>
    <col min="10" max="10" width="40.7109375" customWidth="1"/>
    <col min="11" max="11" width="38.7109375" customWidth="1"/>
    <col min="12" max="12" width="48.7109375" customWidth="1"/>
    <col min="13" max="13" width="0.85546875" customWidth="1"/>
  </cols>
  <sheetData>
    <row r="1" spans="2:13" ht="35.1" customHeight="1"/>
    <row r="2" spans="2:13" ht="5.0999999999999996" customHeight="1">
      <c r="B2" s="80" t="s">
        <v>71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3" ht="69.95" customHeight="1">
      <c r="B3" s="83"/>
      <c r="C3" s="165" t="s">
        <v>72</v>
      </c>
      <c r="D3" s="166"/>
      <c r="E3" s="166"/>
      <c r="F3" s="166"/>
      <c r="G3" s="166"/>
      <c r="H3" s="166"/>
      <c r="I3" s="166"/>
      <c r="J3" s="166"/>
      <c r="K3" s="166"/>
      <c r="L3" s="167"/>
      <c r="M3" s="84"/>
    </row>
    <row r="4" spans="2:13" ht="45" customHeight="1">
      <c r="B4" s="83"/>
      <c r="C4" s="168" t="s">
        <v>73</v>
      </c>
      <c r="D4" s="169"/>
      <c r="E4" s="169"/>
      <c r="F4" s="169"/>
      <c r="G4" s="169"/>
      <c r="H4" s="169"/>
      <c r="I4" s="169"/>
      <c r="J4" s="170"/>
      <c r="K4" s="85" t="s">
        <v>74</v>
      </c>
      <c r="L4" s="85">
        <f>'NOMINA EMPELADOS CDO'!B13</f>
        <v>3</v>
      </c>
      <c r="M4" s="84"/>
    </row>
    <row r="5" spans="2:13" ht="45" customHeight="1">
      <c r="B5" s="83"/>
      <c r="C5" s="171" t="str">
        <f>'NOMINA EMPELADOS CDO'!C6</f>
        <v>DESDE EL 01/04 AL  30/04/2026</v>
      </c>
      <c r="D5" s="172"/>
      <c r="E5" s="172"/>
      <c r="F5" s="172"/>
      <c r="G5" s="172"/>
      <c r="H5" s="172"/>
      <c r="I5" s="172"/>
      <c r="J5" s="172"/>
      <c r="K5" s="172"/>
      <c r="L5" s="173"/>
      <c r="M5" s="84"/>
    </row>
    <row r="6" spans="2:13" ht="5.0999999999999996" customHeight="1">
      <c r="B6" s="83"/>
      <c r="C6" s="86"/>
      <c r="D6" s="87"/>
      <c r="E6" s="87"/>
      <c r="F6" s="87"/>
      <c r="G6" s="87"/>
      <c r="H6" s="87"/>
      <c r="I6" s="87"/>
      <c r="J6" s="87"/>
      <c r="K6" s="87"/>
      <c r="L6" s="87"/>
      <c r="M6" s="84"/>
    </row>
    <row r="7" spans="2:13" ht="54.95" customHeight="1">
      <c r="B7" s="83"/>
      <c r="C7" s="88" t="s">
        <v>75</v>
      </c>
      <c r="D7" s="89"/>
      <c r="E7" s="174" t="str">
        <f>'NOMINA EMPELADOS CDO'!C13</f>
        <v>JESÚS RAFAEL ARAY CAGUANA</v>
      </c>
      <c r="F7" s="174"/>
      <c r="G7" s="174"/>
      <c r="H7" s="174"/>
      <c r="I7" s="174"/>
      <c r="J7" s="90" t="s">
        <v>76</v>
      </c>
      <c r="K7" s="175">
        <f>'NOMINA EMPELADOS CDO'!D13</f>
        <v>8234036</v>
      </c>
      <c r="L7" s="176"/>
      <c r="M7" s="84"/>
    </row>
    <row r="8" spans="2:13" ht="54.95" customHeight="1">
      <c r="B8" s="83"/>
      <c r="C8" s="91" t="s">
        <v>77</v>
      </c>
      <c r="D8" s="92"/>
      <c r="E8" s="93">
        <f>'NOMINA EMPELADOS CDO'!F13</f>
        <v>45218</v>
      </c>
      <c r="F8" s="94" t="s">
        <v>78</v>
      </c>
      <c r="G8" s="177" t="str">
        <f>'NOMINA EMPELADOS CDO'!G13</f>
        <v>LOGISTICA</v>
      </c>
      <c r="H8" s="177"/>
      <c r="I8" s="177"/>
      <c r="J8" s="94" t="s">
        <v>79</v>
      </c>
      <c r="K8" s="178" t="str">
        <f>'NOMINA EMPELADOS CDO'!H13</f>
        <v>OPERACIONES</v>
      </c>
      <c r="L8" s="179"/>
      <c r="M8" s="84"/>
    </row>
    <row r="9" spans="2:13" ht="39.950000000000003" customHeight="1">
      <c r="B9" s="83"/>
      <c r="C9" s="180" t="s">
        <v>80</v>
      </c>
      <c r="D9" s="181"/>
      <c r="E9" s="92"/>
      <c r="F9" s="92"/>
      <c r="G9" s="95"/>
      <c r="H9" s="95"/>
      <c r="I9" s="95"/>
      <c r="J9" s="92"/>
      <c r="K9" s="92"/>
      <c r="L9" s="96"/>
      <c r="M9" s="84"/>
    </row>
    <row r="10" spans="2:13" ht="60" customHeight="1">
      <c r="B10" s="83"/>
      <c r="C10" s="97" t="s">
        <v>81</v>
      </c>
      <c r="D10" s="98">
        <f>'NOMINA EMPELADOS CDO'!I13</f>
        <v>30</v>
      </c>
      <c r="E10" s="182" t="s">
        <v>82</v>
      </c>
      <c r="F10" s="182"/>
      <c r="G10" s="99">
        <f>'NOMINA EMPELADOS CDO'!J13</f>
        <v>43.333333333333336</v>
      </c>
      <c r="H10" s="100" t="s">
        <v>83</v>
      </c>
      <c r="I10" s="101">
        <f>G10*D10</f>
        <v>1300</v>
      </c>
      <c r="J10" s="183" t="s">
        <v>84</v>
      </c>
      <c r="K10" s="183"/>
      <c r="L10" s="102">
        <f>G10*30</f>
        <v>1300</v>
      </c>
      <c r="M10" s="84"/>
    </row>
    <row r="11" spans="2:13" ht="30" customHeight="1">
      <c r="B11" s="83"/>
      <c r="C11" s="103" t="s">
        <v>85</v>
      </c>
      <c r="D11" s="104"/>
      <c r="E11" s="105" t="s">
        <v>86</v>
      </c>
      <c r="F11" s="105">
        <f>'NOMINA EMPELADOS CDO'!P20</f>
        <v>0</v>
      </c>
      <c r="G11" s="101"/>
      <c r="H11" s="100" t="s">
        <v>83</v>
      </c>
      <c r="I11" s="101">
        <f>'NOMINA EMPELADOS CDO'!Q20</f>
        <v>0</v>
      </c>
      <c r="J11" s="92"/>
      <c r="K11" s="92"/>
      <c r="L11" s="96"/>
      <c r="M11" s="84"/>
    </row>
    <row r="12" spans="2:13" ht="30" customHeight="1">
      <c r="B12" s="83"/>
      <c r="C12" s="103" t="s">
        <v>87</v>
      </c>
      <c r="D12" s="104"/>
      <c r="E12" s="105" t="s">
        <v>86</v>
      </c>
      <c r="F12" s="105">
        <f>'NOMINA EMPELADOS CDO'!R20</f>
        <v>0</v>
      </c>
      <c r="G12" s="101"/>
      <c r="H12" s="100" t="s">
        <v>83</v>
      </c>
      <c r="I12" s="101">
        <f>'NOMINA EMPELADOS CDO'!S20</f>
        <v>0</v>
      </c>
      <c r="J12" s="92"/>
      <c r="K12" s="92"/>
      <c r="L12" s="96"/>
      <c r="M12" s="84"/>
    </row>
    <row r="13" spans="2:13" ht="30" customHeight="1">
      <c r="B13" s="83"/>
      <c r="C13" s="103" t="s">
        <v>55</v>
      </c>
      <c r="D13" s="104"/>
      <c r="E13" s="105" t="s">
        <v>86</v>
      </c>
      <c r="F13" s="105">
        <f>'NOMINA EMPELADOS CDO'!M20</f>
        <v>0</v>
      </c>
      <c r="G13" s="101"/>
      <c r="H13" s="100" t="s">
        <v>83</v>
      </c>
      <c r="I13" s="101">
        <f>'NOMINA EMPELADOS CDO'!O20</f>
        <v>0</v>
      </c>
      <c r="J13" s="92"/>
      <c r="K13" s="92"/>
      <c r="L13" s="96"/>
      <c r="M13" s="84"/>
    </row>
    <row r="14" spans="2:13" ht="30" customHeight="1">
      <c r="B14" s="83"/>
      <c r="C14" s="106" t="s">
        <v>88</v>
      </c>
      <c r="D14" s="107"/>
      <c r="E14" s="105" t="s">
        <v>89</v>
      </c>
      <c r="F14" s="105"/>
      <c r="G14" s="101"/>
      <c r="H14" s="100" t="s">
        <v>83</v>
      </c>
      <c r="I14" s="101">
        <f>'NOMINA EMPELADOS CDO'!T20</f>
        <v>0</v>
      </c>
      <c r="J14" s="92"/>
      <c r="K14" s="92"/>
      <c r="L14" s="96"/>
      <c r="M14" s="84"/>
    </row>
    <row r="15" spans="2:13" ht="30" customHeight="1">
      <c r="B15" s="83"/>
      <c r="C15" s="106" t="s">
        <v>54</v>
      </c>
      <c r="D15" s="107"/>
      <c r="E15" s="105" t="s">
        <v>86</v>
      </c>
      <c r="F15" s="105">
        <f>'NOMINA EMPELADOS CDO'!I20</f>
        <v>0</v>
      </c>
      <c r="G15" s="101"/>
      <c r="H15" s="100" t="s">
        <v>83</v>
      </c>
      <c r="I15" s="101">
        <f>'NOMINA EMPELADOS CDO'!J20</f>
        <v>0</v>
      </c>
      <c r="J15" s="92"/>
      <c r="K15" s="92"/>
      <c r="L15" s="96"/>
      <c r="M15" s="84"/>
    </row>
    <row r="16" spans="2:13" ht="30" customHeight="1">
      <c r="B16" s="83"/>
      <c r="C16" s="106" t="s">
        <v>90</v>
      </c>
      <c r="D16" s="107"/>
      <c r="E16" s="105" t="s">
        <v>89</v>
      </c>
      <c r="F16" s="184"/>
      <c r="G16" s="184"/>
      <c r="H16" s="100" t="s">
        <v>83</v>
      </c>
      <c r="I16" s="101">
        <f>'NOMINA EMPELADOS CDO'!P11</f>
        <v>0</v>
      </c>
      <c r="J16" s="92"/>
      <c r="K16" s="92"/>
      <c r="L16" s="96"/>
      <c r="M16" s="84"/>
    </row>
    <row r="17" spans="2:13" ht="30" customHeight="1">
      <c r="B17" s="83"/>
      <c r="C17" s="106" t="s">
        <v>91</v>
      </c>
      <c r="D17" s="92"/>
      <c r="E17" s="108"/>
      <c r="F17" s="109">
        <f>'NOMINA EMPELADOS CDO'!R11</f>
        <v>0</v>
      </c>
      <c r="G17" s="108" t="s">
        <v>92</v>
      </c>
      <c r="H17" s="100" t="s">
        <v>83</v>
      </c>
      <c r="I17" s="101">
        <f>'NOMINA EMPELADOS CDO'!S11</f>
        <v>0</v>
      </c>
      <c r="J17" s="92"/>
      <c r="K17" s="92"/>
      <c r="L17" s="96"/>
      <c r="M17" s="84"/>
    </row>
    <row r="18" spans="2:13" ht="30" customHeight="1">
      <c r="B18" s="83"/>
      <c r="C18" s="106" t="s">
        <v>17</v>
      </c>
      <c r="D18" s="110"/>
      <c r="E18" s="105"/>
      <c r="F18" s="111"/>
      <c r="G18" s="101"/>
      <c r="H18" s="100" t="s">
        <v>83</v>
      </c>
      <c r="I18" s="112">
        <f>+'NOMINA EMPELADOS CDO'!O13</f>
        <v>8442.384</v>
      </c>
      <c r="J18" s="113"/>
      <c r="K18" s="92"/>
      <c r="L18" s="96"/>
      <c r="M18" s="84"/>
    </row>
    <row r="19" spans="2:13" ht="39.950000000000003" customHeight="1">
      <c r="B19" s="83"/>
      <c r="C19" s="103"/>
      <c r="D19" s="92"/>
      <c r="E19" s="185" t="s">
        <v>93</v>
      </c>
      <c r="F19" s="185"/>
      <c r="G19" s="185"/>
      <c r="H19" s="114" t="s">
        <v>83</v>
      </c>
      <c r="I19" s="115">
        <f>SUM(I10:I18)</f>
        <v>9742.384</v>
      </c>
      <c r="J19" s="116"/>
      <c r="K19" s="92"/>
      <c r="L19" s="96"/>
      <c r="M19" s="84"/>
    </row>
    <row r="20" spans="2:13" ht="39.950000000000003" customHeight="1">
      <c r="B20" s="83"/>
      <c r="C20" s="180" t="s">
        <v>94</v>
      </c>
      <c r="D20" s="181"/>
      <c r="E20" s="92"/>
      <c r="F20" s="92"/>
      <c r="G20" s="92"/>
      <c r="H20" s="92"/>
      <c r="I20" s="92"/>
      <c r="J20" s="92"/>
      <c r="K20" s="92"/>
      <c r="L20" s="96"/>
      <c r="M20" s="84"/>
    </row>
    <row r="21" spans="2:13" ht="30" customHeight="1">
      <c r="B21" s="83"/>
      <c r="C21" s="103" t="s">
        <v>95</v>
      </c>
      <c r="D21" s="92"/>
      <c r="E21" s="111"/>
      <c r="F21" s="100" t="s">
        <v>96</v>
      </c>
      <c r="G21" s="117">
        <f>'NOMINA EMPELADOS CDO'!U13</f>
        <v>24</v>
      </c>
      <c r="H21" s="92"/>
      <c r="I21" s="101"/>
      <c r="J21" s="92"/>
      <c r="K21" s="92"/>
      <c r="L21" s="96"/>
      <c r="M21" s="84"/>
    </row>
    <row r="22" spans="2:13" ht="30" customHeight="1">
      <c r="B22" s="83"/>
      <c r="C22" s="103" t="s">
        <v>29</v>
      </c>
      <c r="D22" s="92"/>
      <c r="E22" s="111"/>
      <c r="F22" s="100" t="s">
        <v>96</v>
      </c>
      <c r="G22" s="117">
        <f>'NOMINA EMPELADOS CDO'!X13</f>
        <v>1256.7675360000001</v>
      </c>
      <c r="H22" s="92"/>
      <c r="I22" s="101"/>
      <c r="J22" s="92"/>
      <c r="K22" s="92"/>
      <c r="L22" s="96"/>
      <c r="M22" s="84"/>
    </row>
    <row r="23" spans="2:13" ht="30" customHeight="1">
      <c r="B23" s="83"/>
      <c r="C23" s="103" t="s">
        <v>97</v>
      </c>
      <c r="D23" s="92"/>
      <c r="E23" s="111"/>
      <c r="F23" s="100" t="s">
        <v>96</v>
      </c>
      <c r="G23" s="117">
        <f>'NOMINA EMPELADOS CDO'!W13</f>
        <v>730.67880000000002</v>
      </c>
      <c r="H23" s="92"/>
      <c r="I23" s="101"/>
      <c r="J23" s="92"/>
      <c r="K23" s="92"/>
      <c r="L23" s="96"/>
      <c r="M23" s="84"/>
    </row>
    <row r="24" spans="2:13" ht="30" customHeight="1">
      <c r="B24" s="83"/>
      <c r="C24" s="103" t="s">
        <v>98</v>
      </c>
      <c r="D24" s="92"/>
      <c r="E24" s="111"/>
      <c r="F24" s="100" t="s">
        <v>96</v>
      </c>
      <c r="G24" s="117">
        <f>'NOMINA EMPELADOS CDO'!V13</f>
        <v>6</v>
      </c>
      <c r="H24" s="92"/>
      <c r="I24" s="101"/>
      <c r="J24" s="92"/>
      <c r="K24" s="92"/>
      <c r="L24" s="96"/>
      <c r="M24" s="84"/>
    </row>
    <row r="25" spans="2:13" ht="30" customHeight="1">
      <c r="B25" s="83"/>
      <c r="C25" s="103" t="s">
        <v>99</v>
      </c>
      <c r="D25" s="92"/>
      <c r="E25" s="111"/>
      <c r="F25" s="100" t="s">
        <v>96</v>
      </c>
      <c r="G25" s="117">
        <f>'NOMINA EMPELADOS CDO'!Y11</f>
        <v>0</v>
      </c>
      <c r="H25" s="92"/>
      <c r="I25" s="101"/>
      <c r="J25" s="92"/>
      <c r="K25" s="92"/>
      <c r="L25" s="96"/>
      <c r="M25" s="84"/>
    </row>
    <row r="26" spans="2:13" ht="30" customHeight="1">
      <c r="B26" s="83"/>
      <c r="C26" s="103" t="s">
        <v>100</v>
      </c>
      <c r="D26" s="92"/>
      <c r="E26" s="111"/>
      <c r="F26" s="100" t="s">
        <v>96</v>
      </c>
      <c r="G26" s="118">
        <f>'NOMINA EMPELADOS CDO'!AA11</f>
        <v>0</v>
      </c>
      <c r="H26" s="92"/>
      <c r="I26" s="101"/>
      <c r="J26" s="92"/>
      <c r="K26" s="92"/>
      <c r="L26" s="96"/>
      <c r="M26" s="84"/>
    </row>
    <row r="27" spans="2:13" ht="50.1" customHeight="1">
      <c r="B27" s="83"/>
      <c r="C27" s="186" t="s">
        <v>101</v>
      </c>
      <c r="D27" s="187"/>
      <c r="E27" s="187"/>
      <c r="F27" s="100" t="s">
        <v>96</v>
      </c>
      <c r="G27" s="119">
        <f>SUM(G21:G26)</f>
        <v>2017.446336</v>
      </c>
      <c r="H27" s="188" t="s">
        <v>102</v>
      </c>
      <c r="I27" s="188"/>
      <c r="J27" s="188"/>
      <c r="K27" s="120">
        <f>I19-G27</f>
        <v>7724.937664</v>
      </c>
      <c r="L27" s="96"/>
      <c r="M27" s="84"/>
    </row>
    <row r="28" spans="2:13" ht="35.1" customHeight="1">
      <c r="B28" s="83"/>
      <c r="C28" s="103"/>
      <c r="D28" s="92"/>
      <c r="E28" s="94"/>
      <c r="F28" s="94"/>
      <c r="G28" s="94"/>
      <c r="H28" s="94"/>
      <c r="I28" s="121"/>
      <c r="J28" s="121"/>
      <c r="K28" s="92"/>
      <c r="L28" s="96"/>
      <c r="M28" s="84"/>
    </row>
    <row r="29" spans="2:13" ht="66" customHeight="1">
      <c r="B29" s="83"/>
      <c r="C29" s="189"/>
      <c r="D29" s="190"/>
      <c r="E29" s="190"/>
      <c r="F29" s="94"/>
      <c r="G29" s="94"/>
      <c r="H29" s="94"/>
      <c r="I29" s="121"/>
      <c r="J29" s="194" t="s">
        <v>103</v>
      </c>
      <c r="K29" s="92"/>
      <c r="L29" s="96"/>
      <c r="M29" s="84"/>
    </row>
    <row r="30" spans="2:13" ht="35.1" customHeight="1">
      <c r="B30" s="83"/>
      <c r="C30" s="103"/>
      <c r="D30" s="92"/>
      <c r="E30" s="92"/>
      <c r="F30" s="92"/>
      <c r="G30" s="92"/>
      <c r="H30" s="92"/>
      <c r="I30" s="92"/>
      <c r="J30" s="195" t="s">
        <v>103</v>
      </c>
      <c r="K30" s="122"/>
      <c r="L30" s="123"/>
      <c r="M30" s="84"/>
    </row>
    <row r="31" spans="2:13" ht="9.9499999999999993" customHeight="1">
      <c r="B31" s="83"/>
      <c r="C31" s="124"/>
      <c r="D31" s="125"/>
      <c r="E31" s="125"/>
      <c r="F31" s="125"/>
      <c r="G31" s="126"/>
      <c r="H31" s="125"/>
      <c r="I31" s="125"/>
      <c r="J31" s="125"/>
      <c r="K31" s="125"/>
      <c r="L31" s="127"/>
      <c r="M31" s="84"/>
    </row>
    <row r="32" spans="2:13" ht="5.0999999999999996" customHeight="1">
      <c r="B32" s="128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30"/>
    </row>
    <row r="33" spans="2:13" ht="120" customHeight="1"/>
    <row r="34" spans="2:13" ht="5.0999999999999996" customHeight="1"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</row>
    <row r="35" spans="2:13" ht="69.75" customHeight="1">
      <c r="B35" s="83"/>
      <c r="C35" s="165" t="str">
        <f>C3</f>
        <v>COMERCIALIZADORA CASA DULCE ORIENTE, C.A.                                                             RIF: J-50223534-5</v>
      </c>
      <c r="D35" s="166"/>
      <c r="E35" s="166"/>
      <c r="F35" s="166"/>
      <c r="G35" s="166"/>
      <c r="H35" s="166"/>
      <c r="I35" s="166"/>
      <c r="J35" s="166"/>
      <c r="K35" s="166"/>
      <c r="L35" s="167"/>
      <c r="M35" s="84"/>
    </row>
    <row r="36" spans="2:13" ht="45" customHeight="1">
      <c r="B36" s="83"/>
      <c r="C36" s="168" t="s">
        <v>73</v>
      </c>
      <c r="D36" s="169"/>
      <c r="E36" s="169"/>
      <c r="F36" s="169"/>
      <c r="G36" s="169"/>
      <c r="H36" s="169"/>
      <c r="I36" s="169"/>
      <c r="J36" s="170"/>
      <c r="K36" s="85" t="s">
        <v>74</v>
      </c>
      <c r="L36" s="85">
        <f>'NOMINA EMPELADOS CDO'!B14</f>
        <v>4</v>
      </c>
      <c r="M36" s="84"/>
    </row>
    <row r="37" spans="2:13" ht="45" customHeight="1">
      <c r="B37" s="83"/>
      <c r="C37" s="171" t="str">
        <f>'NOMINA EMPELADOS CDO'!C6</f>
        <v>DESDE EL 01/04 AL  30/04/2026</v>
      </c>
      <c r="D37" s="172"/>
      <c r="E37" s="172"/>
      <c r="F37" s="172"/>
      <c r="G37" s="172"/>
      <c r="H37" s="172"/>
      <c r="I37" s="172"/>
      <c r="J37" s="172"/>
      <c r="K37" s="172"/>
      <c r="L37" s="173"/>
      <c r="M37" s="84"/>
    </row>
    <row r="38" spans="2:13" ht="5.0999999999999996" customHeight="1">
      <c r="B38" s="83"/>
      <c r="C38" s="86"/>
      <c r="D38" s="87"/>
      <c r="E38" s="87"/>
      <c r="F38" s="87"/>
      <c r="G38" s="87"/>
      <c r="H38" s="87"/>
      <c r="I38" s="87"/>
      <c r="J38" s="87"/>
      <c r="K38" s="87"/>
      <c r="L38" s="87"/>
      <c r="M38" s="84"/>
    </row>
    <row r="39" spans="2:13" ht="54.75" customHeight="1">
      <c r="B39" s="83"/>
      <c r="C39" s="88" t="s">
        <v>75</v>
      </c>
      <c r="D39" s="89"/>
      <c r="E39" s="174" t="str">
        <f>'NOMINA EMPELADOS CDO'!C14</f>
        <v>THEISY DEL CARMEN NADALES LOPEZ</v>
      </c>
      <c r="F39" s="174"/>
      <c r="G39" s="174"/>
      <c r="H39" s="174"/>
      <c r="I39" s="174"/>
      <c r="J39" s="90" t="s">
        <v>76</v>
      </c>
      <c r="K39" s="175">
        <f>'NOMINA EMPELADOS CDO'!D14</f>
        <v>19316663</v>
      </c>
      <c r="L39" s="176"/>
      <c r="M39" s="84"/>
    </row>
    <row r="40" spans="2:13" ht="54.95" customHeight="1">
      <c r="B40" s="83"/>
      <c r="C40" s="91" t="s">
        <v>77</v>
      </c>
      <c r="D40" s="92"/>
      <c r="E40" s="93">
        <f>'NOMINA EMPELADOS CDO'!F14</f>
        <v>45839</v>
      </c>
      <c r="F40" s="94" t="s">
        <v>78</v>
      </c>
      <c r="G40" s="177" t="str">
        <f>'NOMINA EMPELADOS CDO'!G14</f>
        <v>ASESORA DE VENTAS</v>
      </c>
      <c r="H40" s="177"/>
      <c r="I40" s="177"/>
      <c r="J40" s="94" t="s">
        <v>79</v>
      </c>
      <c r="K40" s="178" t="str">
        <f>'NOMINA EMPELADOS CDO'!H14</f>
        <v>ATENCION AL CLIENTE</v>
      </c>
      <c r="L40" s="179"/>
      <c r="M40" s="84"/>
    </row>
    <row r="41" spans="2:13" ht="39.950000000000003" customHeight="1">
      <c r="B41" s="83"/>
      <c r="C41" s="180" t="s">
        <v>80</v>
      </c>
      <c r="D41" s="181"/>
      <c r="E41" s="92"/>
      <c r="F41" s="92"/>
      <c r="G41" s="95"/>
      <c r="H41" s="95"/>
      <c r="I41" s="95"/>
      <c r="J41" s="92"/>
      <c r="K41" s="92"/>
      <c r="L41" s="96"/>
      <c r="M41" s="84"/>
    </row>
    <row r="42" spans="2:13" ht="60" customHeight="1">
      <c r="B42" s="83"/>
      <c r="C42" s="97" t="s">
        <v>81</v>
      </c>
      <c r="D42" s="131">
        <f>'NOMINA EMPELADOS CDO'!I12</f>
        <v>30</v>
      </c>
      <c r="E42" s="182" t="s">
        <v>82</v>
      </c>
      <c r="F42" s="182"/>
      <c r="G42" s="99">
        <f>'NOMINA EMPELADOS CDO'!J14</f>
        <v>43.333333333333336</v>
      </c>
      <c r="H42" s="100" t="s">
        <v>96</v>
      </c>
      <c r="I42" s="101">
        <f>G42*D42</f>
        <v>1300</v>
      </c>
      <c r="J42" s="183" t="s">
        <v>84</v>
      </c>
      <c r="K42" s="183"/>
      <c r="L42" s="102">
        <f>G42*30</f>
        <v>1300</v>
      </c>
      <c r="M42" s="84"/>
    </row>
    <row r="43" spans="2:13" ht="30" customHeight="1">
      <c r="B43" s="83"/>
      <c r="C43" s="103" t="s">
        <v>85</v>
      </c>
      <c r="D43" s="104"/>
      <c r="E43" s="105" t="s">
        <v>86</v>
      </c>
      <c r="F43" s="105">
        <f>'NOMINA EMPELADOS CDO'!P21</f>
        <v>0</v>
      </c>
      <c r="G43" s="101"/>
      <c r="H43" s="100" t="s">
        <v>96</v>
      </c>
      <c r="I43" s="101">
        <f>'NOMINA EMPELADOS CDO'!Q21</f>
        <v>0</v>
      </c>
      <c r="J43" s="92"/>
      <c r="K43" s="92"/>
      <c r="L43" s="96"/>
      <c r="M43" s="84"/>
    </row>
    <row r="44" spans="2:13" ht="30" customHeight="1">
      <c r="B44" s="83"/>
      <c r="C44" s="103" t="s">
        <v>87</v>
      </c>
      <c r="D44" s="104"/>
      <c r="E44" s="105" t="s">
        <v>86</v>
      </c>
      <c r="F44" s="105">
        <f>'NOMINA EMPELADOS CDO'!R21</f>
        <v>0</v>
      </c>
      <c r="G44" s="101"/>
      <c r="H44" s="100" t="s">
        <v>96</v>
      </c>
      <c r="I44" s="101">
        <f>'NOMINA EMPELADOS CDO'!S21</f>
        <v>0</v>
      </c>
      <c r="J44" s="92"/>
      <c r="K44" s="92"/>
      <c r="L44" s="96"/>
      <c r="M44" s="84"/>
    </row>
    <row r="45" spans="2:13" ht="30" customHeight="1">
      <c r="B45" s="83"/>
      <c r="C45" s="103" t="s">
        <v>55</v>
      </c>
      <c r="D45" s="104"/>
      <c r="E45" s="105" t="s">
        <v>86</v>
      </c>
      <c r="F45" s="105">
        <f>'NOMINA EMPELADOS CDO'!M21</f>
        <v>0</v>
      </c>
      <c r="G45" s="101"/>
      <c r="H45" s="100" t="s">
        <v>96</v>
      </c>
      <c r="I45" s="101">
        <f>'NOMINA EMPELADOS CDO'!O21</f>
        <v>0</v>
      </c>
      <c r="J45" s="92"/>
      <c r="K45" s="92"/>
      <c r="L45" s="96"/>
      <c r="M45" s="84"/>
    </row>
    <row r="46" spans="2:13" ht="30" customHeight="1">
      <c r="B46" s="83"/>
      <c r="C46" s="106" t="s">
        <v>88</v>
      </c>
      <c r="D46" s="107"/>
      <c r="E46" s="105" t="s">
        <v>89</v>
      </c>
      <c r="F46" s="105"/>
      <c r="G46" s="101"/>
      <c r="H46" s="100" t="s">
        <v>96</v>
      </c>
      <c r="I46" s="101">
        <f>'NOMINA EMPELADOS CDO'!T21</f>
        <v>0</v>
      </c>
      <c r="J46" s="92"/>
      <c r="K46" s="92"/>
      <c r="L46" s="96"/>
      <c r="M46" s="84"/>
    </row>
    <row r="47" spans="2:13" ht="30" customHeight="1">
      <c r="B47" s="83"/>
      <c r="C47" s="106" t="s">
        <v>54</v>
      </c>
      <c r="D47" s="107"/>
      <c r="E47" s="105" t="s">
        <v>86</v>
      </c>
      <c r="F47" s="105">
        <f>'NOMINA EMPELADOS CDO'!I21</f>
        <v>0</v>
      </c>
      <c r="G47" s="101"/>
      <c r="H47" s="100" t="s">
        <v>96</v>
      </c>
      <c r="I47" s="101">
        <f>'NOMINA EMPELADOS CDO'!J21</f>
        <v>0</v>
      </c>
      <c r="J47" s="92"/>
      <c r="K47" s="92"/>
      <c r="L47" s="96"/>
      <c r="M47" s="84"/>
    </row>
    <row r="48" spans="2:13" ht="30" customHeight="1">
      <c r="B48" s="83"/>
      <c r="C48" s="106" t="s">
        <v>90</v>
      </c>
      <c r="D48" s="107"/>
      <c r="E48" s="105" t="s">
        <v>89</v>
      </c>
      <c r="F48" s="184"/>
      <c r="G48" s="184"/>
      <c r="H48" s="100" t="s">
        <v>96</v>
      </c>
      <c r="I48" s="101">
        <f>'NOMINA EMPELADOS CDO'!P12</f>
        <v>0</v>
      </c>
      <c r="J48" s="92"/>
      <c r="K48" s="92"/>
      <c r="L48" s="96"/>
      <c r="M48" s="84"/>
    </row>
    <row r="49" spans="2:13" ht="30" customHeight="1">
      <c r="B49" s="83"/>
      <c r="C49" s="106" t="s">
        <v>91</v>
      </c>
      <c r="D49" s="92"/>
      <c r="E49" s="108"/>
      <c r="F49" s="109">
        <f>'NOMINA EMPELADOS CDO'!R12</f>
        <v>0</v>
      </c>
      <c r="G49" s="108" t="s">
        <v>92</v>
      </c>
      <c r="H49" s="100" t="s">
        <v>96</v>
      </c>
      <c r="I49" s="101">
        <f>'NOMINA EMPELADOS CDO'!S12</f>
        <v>0</v>
      </c>
      <c r="J49" s="92"/>
      <c r="K49" s="92"/>
      <c r="L49" s="96"/>
      <c r="M49" s="84"/>
    </row>
    <row r="50" spans="2:13" ht="30" customHeight="1">
      <c r="B50" s="83"/>
      <c r="C50" s="106" t="s">
        <v>17</v>
      </c>
      <c r="D50" s="110"/>
      <c r="E50" s="105"/>
      <c r="F50" s="111"/>
      <c r="G50" s="101"/>
      <c r="H50" s="100" t="s">
        <v>96</v>
      </c>
      <c r="I50" s="112">
        <f>+'NOMINA EMPELADOS CDO'!O14</f>
        <v>8442.384</v>
      </c>
      <c r="J50" s="113"/>
      <c r="K50" s="92"/>
      <c r="L50" s="96"/>
      <c r="M50" s="84"/>
    </row>
    <row r="51" spans="2:13" ht="39.950000000000003" customHeight="1">
      <c r="B51" s="83"/>
      <c r="C51" s="103"/>
      <c r="D51" s="92"/>
      <c r="E51" s="185" t="s">
        <v>93</v>
      </c>
      <c r="F51" s="185"/>
      <c r="G51" s="185"/>
      <c r="H51" s="100" t="s">
        <v>96</v>
      </c>
      <c r="I51" s="115">
        <f>SUM(I42:I50)</f>
        <v>9742.384</v>
      </c>
      <c r="J51" s="116"/>
      <c r="K51" s="92"/>
      <c r="L51" s="96"/>
      <c r="M51" s="84"/>
    </row>
    <row r="52" spans="2:13" ht="39.75" customHeight="1">
      <c r="B52" s="83"/>
      <c r="C52" s="180" t="s">
        <v>94</v>
      </c>
      <c r="D52" s="181"/>
      <c r="E52" s="92"/>
      <c r="F52" s="92"/>
      <c r="G52" s="92"/>
      <c r="H52" s="92"/>
      <c r="I52" s="92"/>
      <c r="J52" s="92"/>
      <c r="K52" s="92"/>
      <c r="L52" s="96"/>
      <c r="M52" s="84"/>
    </row>
    <row r="53" spans="2:13" ht="30" customHeight="1">
      <c r="B53" s="83"/>
      <c r="C53" s="103" t="s">
        <v>95</v>
      </c>
      <c r="D53" s="92"/>
      <c r="E53" s="111"/>
      <c r="F53" s="100" t="s">
        <v>96</v>
      </c>
      <c r="G53" s="117">
        <f>'NOMINA EMPELADOS CDO'!U14</f>
        <v>24</v>
      </c>
      <c r="H53" s="92"/>
      <c r="I53" s="101"/>
      <c r="J53" s="92"/>
      <c r="K53" s="92"/>
      <c r="L53" s="96"/>
      <c r="M53" s="84"/>
    </row>
    <row r="54" spans="2:13" ht="30" customHeight="1">
      <c r="B54" s="83"/>
      <c r="C54" s="103" t="s">
        <v>29</v>
      </c>
      <c r="D54" s="92"/>
      <c r="E54" s="111"/>
      <c r="F54" s="100" t="s">
        <v>96</v>
      </c>
      <c r="G54" s="117">
        <f>'NOMINA EMPELADOS CDO'!X14</f>
        <v>949.88244000000009</v>
      </c>
      <c r="H54" s="92"/>
      <c r="I54" s="101"/>
      <c r="J54" s="92"/>
      <c r="K54" s="92"/>
      <c r="L54" s="96"/>
      <c r="M54" s="84"/>
    </row>
    <row r="55" spans="2:13" ht="30" customHeight="1">
      <c r="B55" s="83"/>
      <c r="C55" s="103" t="s">
        <v>97</v>
      </c>
      <c r="D55" s="92"/>
      <c r="E55" s="111"/>
      <c r="F55" s="100" t="s">
        <v>96</v>
      </c>
      <c r="G55" s="117">
        <f>'NOMINA EMPELADOS CDO'!W14</f>
        <v>730.67880000000002</v>
      </c>
      <c r="H55" s="92"/>
      <c r="I55" s="101"/>
      <c r="J55" s="92"/>
      <c r="K55" s="92"/>
      <c r="L55" s="96"/>
      <c r="M55" s="84"/>
    </row>
    <row r="56" spans="2:13" ht="30" customHeight="1">
      <c r="B56" s="83"/>
      <c r="C56" s="103" t="s">
        <v>98</v>
      </c>
      <c r="D56" s="92"/>
      <c r="E56" s="111"/>
      <c r="F56" s="100" t="s">
        <v>96</v>
      </c>
      <c r="G56" s="117">
        <f>'NOMINA EMPELADOS CDO'!V14</f>
        <v>6</v>
      </c>
      <c r="H56" s="92"/>
      <c r="I56" s="101"/>
      <c r="J56" s="92"/>
      <c r="K56" s="92"/>
      <c r="L56" s="96"/>
      <c r="M56" s="84"/>
    </row>
    <row r="57" spans="2:13" ht="30" customHeight="1">
      <c r="B57" s="83"/>
      <c r="C57" s="103" t="s">
        <v>99</v>
      </c>
      <c r="D57" s="92"/>
      <c r="E57" s="111" t="s">
        <v>107</v>
      </c>
      <c r="F57" s="100" t="s">
        <v>96</v>
      </c>
      <c r="G57" s="117">
        <f>'NOMINA EMPELADOS CDO'!Y14</f>
        <v>0</v>
      </c>
      <c r="H57" s="92"/>
      <c r="I57" s="101"/>
      <c r="J57" s="92"/>
      <c r="K57" s="92"/>
      <c r="L57" s="96"/>
      <c r="M57" s="84"/>
    </row>
    <row r="58" spans="2:13" ht="30" customHeight="1">
      <c r="B58" s="83"/>
      <c r="C58" s="103" t="s">
        <v>100</v>
      </c>
      <c r="D58" s="92"/>
      <c r="E58" s="111"/>
      <c r="F58" s="100" t="s">
        <v>96</v>
      </c>
      <c r="G58" s="118">
        <f>'NOMINA EMPELADOS CDO'!Z14</f>
        <v>0</v>
      </c>
      <c r="H58" s="92"/>
      <c r="I58" s="101"/>
      <c r="J58" s="92"/>
      <c r="K58" s="92"/>
      <c r="L58" s="96"/>
      <c r="M58" s="84"/>
    </row>
    <row r="59" spans="2:13" ht="50.1" customHeight="1">
      <c r="B59" s="83"/>
      <c r="C59" s="186" t="s">
        <v>101</v>
      </c>
      <c r="D59" s="187"/>
      <c r="E59" s="187"/>
      <c r="F59" s="100" t="s">
        <v>96</v>
      </c>
      <c r="G59" s="119">
        <f>SUM(G53:G58)</f>
        <v>1710.56124</v>
      </c>
      <c r="H59" s="188" t="s">
        <v>105</v>
      </c>
      <c r="I59" s="188"/>
      <c r="J59" s="188"/>
      <c r="K59" s="120">
        <f>I51-G59</f>
        <v>8031.82276</v>
      </c>
      <c r="L59" s="96"/>
      <c r="M59" s="84"/>
    </row>
    <row r="60" spans="2:13" ht="35.1" customHeight="1">
      <c r="B60" s="83"/>
      <c r="C60" s="103"/>
      <c r="D60" s="92"/>
      <c r="E60" s="94"/>
      <c r="F60" s="94"/>
      <c r="G60" s="94"/>
      <c r="H60" s="94"/>
      <c r="I60" s="121"/>
      <c r="J60" s="121"/>
      <c r="K60" s="92"/>
      <c r="L60" s="96"/>
      <c r="M60" s="84"/>
    </row>
    <row r="61" spans="2:13" ht="60" customHeight="1">
      <c r="B61" s="83"/>
      <c r="C61" s="189"/>
      <c r="D61" s="190"/>
      <c r="E61" s="190"/>
      <c r="F61" s="94"/>
      <c r="G61" s="132"/>
      <c r="H61" s="94"/>
      <c r="I61" s="121"/>
      <c r="J61" s="194" t="s">
        <v>103</v>
      </c>
      <c r="K61" s="101"/>
      <c r="L61" s="96"/>
      <c r="M61" s="84"/>
    </row>
    <row r="62" spans="2:13" ht="35.1" customHeight="1">
      <c r="B62" s="83"/>
      <c r="C62" s="103"/>
      <c r="D62" s="92"/>
      <c r="E62" s="92"/>
      <c r="F62" s="92"/>
      <c r="G62" s="92"/>
      <c r="H62" s="92"/>
      <c r="I62" s="92"/>
      <c r="J62" s="195" t="s">
        <v>103</v>
      </c>
      <c r="K62" s="122"/>
      <c r="L62" s="123"/>
      <c r="M62" s="84"/>
    </row>
    <row r="63" spans="2:13" ht="9.9499999999999993" customHeight="1">
      <c r="B63" s="83"/>
      <c r="C63" s="124"/>
      <c r="D63" s="125"/>
      <c r="E63" s="125"/>
      <c r="F63" s="125"/>
      <c r="G63" s="126"/>
      <c r="H63" s="125"/>
      <c r="I63" s="125"/>
      <c r="J63" s="125"/>
      <c r="K63" s="125"/>
      <c r="L63" s="127"/>
      <c r="M63" s="84"/>
    </row>
    <row r="64" spans="2:13" ht="5.0999999999999996" customHeight="1">
      <c r="B64" s="128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30"/>
    </row>
    <row r="65" spans="2:13" ht="6" customHeight="1">
      <c r="B65" s="128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30"/>
    </row>
    <row r="66" spans="2:13" ht="120" customHeight="1"/>
    <row r="67" spans="2:13" ht="5.0999999999999996" hidden="1" customHeight="1">
      <c r="B67" s="80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2"/>
    </row>
    <row r="68" spans="2:13" ht="69.95" hidden="1" customHeight="1">
      <c r="B68" s="83"/>
      <c r="C68" s="191" t="str">
        <f>+C35</f>
        <v>COMERCIALIZADORA CASA DULCE ORIENTE, C.A.                                                             RIF: J-50223534-5</v>
      </c>
      <c r="D68" s="192"/>
      <c r="E68" s="192"/>
      <c r="F68" s="192"/>
      <c r="G68" s="192"/>
      <c r="H68" s="192"/>
      <c r="I68" s="192"/>
      <c r="J68" s="192"/>
      <c r="K68" s="192"/>
      <c r="L68" s="193"/>
      <c r="M68" s="84"/>
    </row>
    <row r="69" spans="2:13" ht="45" hidden="1" customHeight="1">
      <c r="B69" s="83"/>
      <c r="C69" s="168" t="s">
        <v>73</v>
      </c>
      <c r="D69" s="169"/>
      <c r="E69" s="169"/>
      <c r="F69" s="169"/>
      <c r="G69" s="169"/>
      <c r="H69" s="169"/>
      <c r="I69" s="169"/>
      <c r="J69" s="170"/>
      <c r="K69" s="85" t="s">
        <v>74</v>
      </c>
      <c r="L69" s="85">
        <f>'NOMINA EMPELADOS CDO'!B13</f>
        <v>3</v>
      </c>
      <c r="M69" s="84"/>
    </row>
    <row r="70" spans="2:13" ht="45" hidden="1" customHeight="1">
      <c r="B70" s="83"/>
      <c r="C70" s="171" t="str">
        <f>'NOMINA EMPELADOS CDO'!C6</f>
        <v>DESDE EL 01/04 AL  30/04/2026</v>
      </c>
      <c r="D70" s="172"/>
      <c r="E70" s="172"/>
      <c r="F70" s="172"/>
      <c r="G70" s="172"/>
      <c r="H70" s="172"/>
      <c r="I70" s="172"/>
      <c r="J70" s="172"/>
      <c r="K70" s="172"/>
      <c r="L70" s="173"/>
      <c r="M70" s="84"/>
    </row>
    <row r="71" spans="2:13" ht="5.0999999999999996" hidden="1" customHeight="1">
      <c r="B71" s="83"/>
      <c r="C71" s="86"/>
      <c r="D71" s="87"/>
      <c r="E71" s="87"/>
      <c r="F71" s="87"/>
      <c r="G71" s="87"/>
      <c r="H71" s="87"/>
      <c r="I71" s="87"/>
      <c r="J71" s="87"/>
      <c r="K71" s="87"/>
      <c r="L71" s="87"/>
      <c r="M71" s="84"/>
    </row>
    <row r="72" spans="2:13" ht="54.95" hidden="1" customHeight="1">
      <c r="B72" s="83"/>
      <c r="C72" s="88" t="s">
        <v>75</v>
      </c>
      <c r="D72" s="89"/>
      <c r="E72" s="174" t="str">
        <f>'NOMINA EMPELADOS CDO'!C13</f>
        <v>JESÚS RAFAEL ARAY CAGUANA</v>
      </c>
      <c r="F72" s="174"/>
      <c r="G72" s="174"/>
      <c r="H72" s="174"/>
      <c r="I72" s="174"/>
      <c r="J72" s="90" t="s">
        <v>76</v>
      </c>
      <c r="K72" s="175">
        <f>'NOMINA EMPELADOS CDO'!D13</f>
        <v>8234036</v>
      </c>
      <c r="L72" s="176"/>
      <c r="M72" s="84"/>
    </row>
    <row r="73" spans="2:13" ht="54.95" hidden="1" customHeight="1">
      <c r="B73" s="83"/>
      <c r="C73" s="91" t="s">
        <v>77</v>
      </c>
      <c r="D73" s="92"/>
      <c r="E73" s="93">
        <f>'NOMINA EMPELADOS CDO'!F13</f>
        <v>45218</v>
      </c>
      <c r="F73" s="94" t="s">
        <v>78</v>
      </c>
      <c r="G73" s="177" t="str">
        <f>'NOMINA EMPELADOS CDO'!G13</f>
        <v>LOGISTICA</v>
      </c>
      <c r="H73" s="177"/>
      <c r="I73" s="177"/>
      <c r="J73" s="94" t="s">
        <v>79</v>
      </c>
      <c r="K73" s="178" t="str">
        <f>+'NOMINA EMPELADOS CDO'!H13</f>
        <v>OPERACIONES</v>
      </c>
      <c r="L73" s="179"/>
      <c r="M73" s="84"/>
    </row>
    <row r="74" spans="2:13" ht="39.950000000000003" hidden="1" customHeight="1">
      <c r="B74" s="83"/>
      <c r="C74" s="180" t="s">
        <v>80</v>
      </c>
      <c r="D74" s="181"/>
      <c r="E74" s="92"/>
      <c r="F74" s="92"/>
      <c r="G74" s="95"/>
      <c r="H74" s="95"/>
      <c r="I74" s="95"/>
      <c r="J74" s="92"/>
      <c r="K74" s="92"/>
      <c r="L74" s="96"/>
      <c r="M74" s="84"/>
    </row>
    <row r="75" spans="2:13" ht="60" hidden="1" customHeight="1">
      <c r="B75" s="83"/>
      <c r="C75" s="97" t="s">
        <v>81</v>
      </c>
      <c r="D75" s="98">
        <f>'NOMINA EMPELADOS CDO'!I13</f>
        <v>30</v>
      </c>
      <c r="E75" s="182" t="s">
        <v>82</v>
      </c>
      <c r="F75" s="182"/>
      <c r="G75" s="99">
        <f>'NOMINA EMPELADOS CDO'!J13</f>
        <v>43.333333333333336</v>
      </c>
      <c r="H75" s="100" t="s">
        <v>83</v>
      </c>
      <c r="I75" s="101">
        <f>G75*D75</f>
        <v>1300</v>
      </c>
      <c r="J75" s="183" t="s">
        <v>84</v>
      </c>
      <c r="K75" s="183"/>
      <c r="L75" s="102">
        <f>G75*30</f>
        <v>1300</v>
      </c>
      <c r="M75" s="84"/>
    </row>
    <row r="76" spans="2:13" ht="30" hidden="1" customHeight="1">
      <c r="B76" s="83"/>
      <c r="C76" s="103" t="s">
        <v>85</v>
      </c>
      <c r="D76" s="104"/>
      <c r="E76" s="105" t="s">
        <v>86</v>
      </c>
      <c r="F76" s="105">
        <f>'NOMINA EMPELADOS CDO'!P56</f>
        <v>0</v>
      </c>
      <c r="G76" s="101"/>
      <c r="H76" s="100" t="s">
        <v>83</v>
      </c>
      <c r="I76" s="101">
        <f>'NOMINA EMPELADOS CDO'!Q56</f>
        <v>0</v>
      </c>
      <c r="J76" s="92"/>
      <c r="K76" s="92"/>
      <c r="L76" s="96"/>
      <c r="M76" s="84"/>
    </row>
    <row r="77" spans="2:13" ht="30" hidden="1" customHeight="1">
      <c r="B77" s="83"/>
      <c r="C77" s="103" t="s">
        <v>87</v>
      </c>
      <c r="D77" s="104"/>
      <c r="E77" s="105" t="s">
        <v>86</v>
      </c>
      <c r="F77" s="105">
        <f>'NOMINA EMPELADOS CDO'!R56</f>
        <v>0</v>
      </c>
      <c r="G77" s="101"/>
      <c r="H77" s="100" t="s">
        <v>83</v>
      </c>
      <c r="I77" s="101">
        <f>'NOMINA EMPELADOS CDO'!S56</f>
        <v>0</v>
      </c>
      <c r="J77" s="92"/>
      <c r="K77" s="92"/>
      <c r="L77" s="96"/>
      <c r="M77" s="84"/>
    </row>
    <row r="78" spans="2:13" ht="30" hidden="1" customHeight="1">
      <c r="B78" s="83"/>
      <c r="C78" s="103" t="s">
        <v>55</v>
      </c>
      <c r="D78" s="104"/>
      <c r="E78" s="105" t="s">
        <v>86</v>
      </c>
      <c r="F78" s="105">
        <f>'NOMINA EMPELADOS CDO'!M56</f>
        <v>0</v>
      </c>
      <c r="G78" s="101"/>
      <c r="H78" s="100" t="s">
        <v>83</v>
      </c>
      <c r="I78" s="101">
        <f>'NOMINA EMPELADOS CDO'!O56</f>
        <v>0</v>
      </c>
      <c r="J78" s="92"/>
      <c r="K78" s="92"/>
      <c r="L78" s="96"/>
      <c r="M78" s="84"/>
    </row>
    <row r="79" spans="2:13" ht="30" hidden="1" customHeight="1">
      <c r="B79" s="83"/>
      <c r="C79" s="106" t="s">
        <v>88</v>
      </c>
      <c r="D79" s="107"/>
      <c r="E79" s="105" t="s">
        <v>89</v>
      </c>
      <c r="F79" s="105"/>
      <c r="G79" s="101"/>
      <c r="H79" s="100" t="s">
        <v>83</v>
      </c>
      <c r="I79" s="101">
        <f>'NOMINA EMPELADOS CDO'!T56</f>
        <v>0</v>
      </c>
      <c r="J79" s="92"/>
      <c r="K79" s="92"/>
      <c r="L79" s="96"/>
      <c r="M79" s="84"/>
    </row>
    <row r="80" spans="2:13" ht="30" hidden="1" customHeight="1">
      <c r="B80" s="83"/>
      <c r="C80" s="106" t="s">
        <v>54</v>
      </c>
      <c r="D80" s="107"/>
      <c r="E80" s="105" t="s">
        <v>86</v>
      </c>
      <c r="F80" s="105">
        <f>'NOMINA EMPELADOS CDO'!I56</f>
        <v>0</v>
      </c>
      <c r="G80" s="101"/>
      <c r="H80" s="100" t="s">
        <v>83</v>
      </c>
      <c r="I80" s="101">
        <f>'NOMINA EMPELADOS CDO'!J56</f>
        <v>0</v>
      </c>
      <c r="J80" s="92"/>
      <c r="K80" s="92"/>
      <c r="L80" s="96"/>
      <c r="M80" s="84"/>
    </row>
    <row r="81" spans="2:13" ht="30" hidden="1" customHeight="1">
      <c r="B81" s="83"/>
      <c r="C81" s="106" t="s">
        <v>90</v>
      </c>
      <c r="D81" s="107"/>
      <c r="E81" s="105" t="s">
        <v>89</v>
      </c>
      <c r="F81" s="184"/>
      <c r="G81" s="184"/>
      <c r="H81" s="100" t="s">
        <v>83</v>
      </c>
      <c r="I81" s="101">
        <f>'NOMINA EMPELADOS CDO'!P49</f>
        <v>0</v>
      </c>
      <c r="J81" s="92"/>
      <c r="K81" s="92"/>
      <c r="L81" s="96"/>
      <c r="M81" s="84"/>
    </row>
    <row r="82" spans="2:13" ht="30" hidden="1" customHeight="1">
      <c r="B82" s="83"/>
      <c r="C82" s="106" t="s">
        <v>91</v>
      </c>
      <c r="D82" s="92"/>
      <c r="E82" s="108"/>
      <c r="F82" s="109"/>
      <c r="G82" s="108" t="s">
        <v>92</v>
      </c>
      <c r="H82" s="100" t="s">
        <v>83</v>
      </c>
      <c r="I82" s="101">
        <f>'NOMINA EMPELADOS CDO'!S49</f>
        <v>0</v>
      </c>
      <c r="J82" s="92"/>
      <c r="K82" s="92"/>
      <c r="L82" s="96"/>
      <c r="M82" s="84"/>
    </row>
    <row r="83" spans="2:13" ht="30" hidden="1" customHeight="1">
      <c r="B83" s="83"/>
      <c r="C83" s="106" t="s">
        <v>17</v>
      </c>
      <c r="D83" s="110"/>
      <c r="E83" s="105"/>
      <c r="F83" s="111"/>
      <c r="G83" s="101"/>
      <c r="H83" s="100" t="s">
        <v>83</v>
      </c>
      <c r="I83" s="112">
        <f>+'NOMINA EMPELADOS CDO'!O13</f>
        <v>8442.384</v>
      </c>
      <c r="J83" s="113"/>
      <c r="K83" s="92"/>
      <c r="L83" s="96"/>
      <c r="M83" s="84"/>
    </row>
    <row r="84" spans="2:13" ht="39.950000000000003" hidden="1" customHeight="1">
      <c r="B84" s="83"/>
      <c r="C84" s="103"/>
      <c r="D84" s="92"/>
      <c r="E84" s="185" t="s">
        <v>93</v>
      </c>
      <c r="F84" s="185"/>
      <c r="G84" s="185"/>
      <c r="H84" s="114" t="s">
        <v>83</v>
      </c>
      <c r="I84" s="115">
        <f>SUM(I75:I83)</f>
        <v>9742.384</v>
      </c>
      <c r="J84" s="116"/>
      <c r="K84" s="92"/>
      <c r="L84" s="96"/>
      <c r="M84" s="84"/>
    </row>
    <row r="85" spans="2:13" ht="39.950000000000003" hidden="1" customHeight="1">
      <c r="B85" s="83"/>
      <c r="C85" s="180" t="s">
        <v>94</v>
      </c>
      <c r="D85" s="181"/>
      <c r="E85" s="92"/>
      <c r="F85" s="92"/>
      <c r="G85" s="92"/>
      <c r="H85" s="92"/>
      <c r="I85" s="92"/>
      <c r="J85" s="92"/>
      <c r="K85" s="92"/>
      <c r="L85" s="96"/>
      <c r="M85" s="84"/>
    </row>
    <row r="86" spans="2:13" ht="30" hidden="1" customHeight="1">
      <c r="B86" s="83"/>
      <c r="C86" s="103" t="s">
        <v>95</v>
      </c>
      <c r="D86" s="92"/>
      <c r="E86" s="111"/>
      <c r="F86" s="100" t="s">
        <v>96</v>
      </c>
      <c r="G86" s="117">
        <f>'NOMINA EMPELADOS CDO'!U13</f>
        <v>24</v>
      </c>
      <c r="H86" s="92"/>
      <c r="I86" s="101"/>
      <c r="J86" s="92"/>
      <c r="K86" s="92"/>
      <c r="L86" s="96"/>
      <c r="M86" s="84"/>
    </row>
    <row r="87" spans="2:13" ht="30" hidden="1" customHeight="1">
      <c r="B87" s="83"/>
      <c r="C87" s="103" t="s">
        <v>29</v>
      </c>
      <c r="D87" s="92"/>
      <c r="E87" s="111"/>
      <c r="F87" s="100" t="s">
        <v>96</v>
      </c>
      <c r="G87" s="117">
        <f>'NOMINA EMPELADOS CDO'!X13</f>
        <v>1256.7675360000001</v>
      </c>
      <c r="H87" s="92"/>
      <c r="I87" s="101"/>
      <c r="J87" s="92"/>
      <c r="K87" s="92"/>
      <c r="L87" s="96"/>
      <c r="M87" s="84"/>
    </row>
    <row r="88" spans="2:13" ht="30" hidden="1" customHeight="1">
      <c r="B88" s="83"/>
      <c r="C88" s="103" t="s">
        <v>97</v>
      </c>
      <c r="D88" s="92"/>
      <c r="E88" s="111"/>
      <c r="F88" s="100" t="s">
        <v>96</v>
      </c>
      <c r="G88" s="117">
        <f>'NOMINA EMPELADOS CDO'!W13</f>
        <v>730.67880000000002</v>
      </c>
      <c r="H88" s="92"/>
      <c r="I88" s="101"/>
      <c r="J88" s="92"/>
      <c r="K88" s="92"/>
      <c r="L88" s="96"/>
      <c r="M88" s="84"/>
    </row>
    <row r="89" spans="2:13" ht="30" hidden="1" customHeight="1">
      <c r="B89" s="83"/>
      <c r="C89" s="103" t="s">
        <v>98</v>
      </c>
      <c r="D89" s="92"/>
      <c r="E89" s="111"/>
      <c r="F89" s="100" t="s">
        <v>96</v>
      </c>
      <c r="G89" s="117">
        <f>'NOMINA EMPELADOS CDO'!V13</f>
        <v>6</v>
      </c>
      <c r="H89" s="92"/>
      <c r="I89" s="101"/>
      <c r="J89" s="92"/>
      <c r="K89" s="92"/>
      <c r="L89" s="96"/>
      <c r="M89" s="84"/>
    </row>
    <row r="90" spans="2:13" ht="30" hidden="1" customHeight="1">
      <c r="B90" s="83"/>
      <c r="C90" s="103" t="s">
        <v>99</v>
      </c>
      <c r="D90" s="92"/>
      <c r="E90" s="111"/>
      <c r="F90" s="100" t="s">
        <v>96</v>
      </c>
      <c r="G90" s="117">
        <f>'NOMINA EMPELADOS CDO'!Y13</f>
        <v>0</v>
      </c>
      <c r="H90" s="92"/>
      <c r="I90" s="101"/>
      <c r="J90" s="92"/>
      <c r="K90" s="92"/>
      <c r="L90" s="96"/>
      <c r="M90" s="84"/>
    </row>
    <row r="91" spans="2:13" ht="30" hidden="1" customHeight="1">
      <c r="B91" s="83"/>
      <c r="C91" s="103" t="s">
        <v>100</v>
      </c>
      <c r="D91" s="92"/>
      <c r="E91" s="111"/>
      <c r="F91" s="100" t="s">
        <v>96</v>
      </c>
      <c r="G91" s="118">
        <f>'NOMINA EMPELADOS CDO'!Z13</f>
        <v>0</v>
      </c>
      <c r="H91" s="92"/>
      <c r="I91" s="101"/>
      <c r="J91" s="92"/>
      <c r="K91" s="92"/>
      <c r="L91" s="96"/>
      <c r="M91" s="84"/>
    </row>
    <row r="92" spans="2:13" ht="50.1" hidden="1" customHeight="1">
      <c r="B92" s="83"/>
      <c r="C92" s="186" t="s">
        <v>101</v>
      </c>
      <c r="D92" s="187"/>
      <c r="E92" s="187"/>
      <c r="F92" s="100" t="s">
        <v>96</v>
      </c>
      <c r="G92" s="119">
        <f>SUM(G86:G91)</f>
        <v>2017.446336</v>
      </c>
      <c r="H92" s="188" t="s">
        <v>102</v>
      </c>
      <c r="I92" s="188"/>
      <c r="J92" s="188"/>
      <c r="K92" s="120">
        <f>I84-G92</f>
        <v>7724.937664</v>
      </c>
      <c r="L92" s="96"/>
      <c r="M92" s="84"/>
    </row>
    <row r="93" spans="2:13" ht="35.1" hidden="1" customHeight="1">
      <c r="B93" s="83"/>
      <c r="C93" s="103"/>
      <c r="D93" s="92"/>
      <c r="E93" s="94"/>
      <c r="F93" s="94"/>
      <c r="G93" s="94"/>
      <c r="H93" s="94"/>
      <c r="I93" s="121"/>
      <c r="J93" s="121"/>
      <c r="K93" s="92"/>
      <c r="L93" s="96"/>
      <c r="M93" s="84"/>
    </row>
    <row r="94" spans="2:13" ht="64.5" hidden="1" customHeight="1">
      <c r="B94" s="83"/>
      <c r="C94" s="189"/>
      <c r="D94" s="190"/>
      <c r="E94" s="190"/>
      <c r="F94" s="94"/>
      <c r="G94" s="132"/>
      <c r="H94" s="94"/>
      <c r="I94" s="121"/>
      <c r="J94" s="194" t="s">
        <v>103</v>
      </c>
      <c r="K94" s="92"/>
      <c r="L94" s="96"/>
      <c r="M94" s="84"/>
    </row>
    <row r="95" spans="2:13" ht="35.1" hidden="1" customHeight="1">
      <c r="B95" s="83"/>
      <c r="C95" s="103"/>
      <c r="D95" s="92"/>
      <c r="E95" s="92"/>
      <c r="F95" s="92"/>
      <c r="G95" s="92"/>
      <c r="H95" s="92"/>
      <c r="I95" s="92"/>
      <c r="J95" s="195" t="s">
        <v>103</v>
      </c>
      <c r="K95" s="122"/>
      <c r="L95" s="123"/>
      <c r="M95" s="84"/>
    </row>
    <row r="96" spans="2:13" ht="9.9499999999999993" hidden="1" customHeight="1">
      <c r="B96" s="83"/>
      <c r="C96" s="124"/>
      <c r="D96" s="125"/>
      <c r="E96" s="125"/>
      <c r="F96" s="125"/>
      <c r="G96" s="126"/>
      <c r="H96" s="125"/>
      <c r="I96" s="125"/>
      <c r="J96" s="125"/>
      <c r="K96" s="125"/>
      <c r="L96" s="127"/>
      <c r="M96" s="84"/>
    </row>
    <row r="97" spans="2:13" ht="5.0999999999999996" hidden="1" customHeight="1">
      <c r="B97" s="128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30"/>
    </row>
    <row r="98" spans="2:13" hidden="1"/>
    <row r="99" spans="2:13" hidden="1"/>
  </sheetData>
  <mergeCells count="51">
    <mergeCell ref="C94:E94"/>
    <mergeCell ref="J29:J30"/>
    <mergeCell ref="J61:J62"/>
    <mergeCell ref="J94:J95"/>
    <mergeCell ref="F81:G81"/>
    <mergeCell ref="E84:G84"/>
    <mergeCell ref="C85:D85"/>
    <mergeCell ref="C92:E92"/>
    <mergeCell ref="H92:J92"/>
    <mergeCell ref="G73:I73"/>
    <mergeCell ref="K73:L73"/>
    <mergeCell ref="C74:D74"/>
    <mergeCell ref="E75:F75"/>
    <mergeCell ref="J75:K75"/>
    <mergeCell ref="C61:E61"/>
    <mergeCell ref="C68:L68"/>
    <mergeCell ref="C69:J69"/>
    <mergeCell ref="C70:L70"/>
    <mergeCell ref="E72:I72"/>
    <mergeCell ref="K72:L72"/>
    <mergeCell ref="F48:G48"/>
    <mergeCell ref="E51:G51"/>
    <mergeCell ref="C52:D52"/>
    <mergeCell ref="C59:E59"/>
    <mergeCell ref="H59:J59"/>
    <mergeCell ref="G40:I40"/>
    <mergeCell ref="K40:L40"/>
    <mergeCell ref="C41:D41"/>
    <mergeCell ref="E42:F42"/>
    <mergeCell ref="J42:K42"/>
    <mergeCell ref="C29:E29"/>
    <mergeCell ref="C35:L35"/>
    <mergeCell ref="C36:J36"/>
    <mergeCell ref="C37:L37"/>
    <mergeCell ref="E39:I39"/>
    <mergeCell ref="K39:L39"/>
    <mergeCell ref="F16:G16"/>
    <mergeCell ref="E19:G19"/>
    <mergeCell ref="C20:D20"/>
    <mergeCell ref="C27:E27"/>
    <mergeCell ref="H27:J27"/>
    <mergeCell ref="G8:I8"/>
    <mergeCell ref="K8:L8"/>
    <mergeCell ref="C9:D9"/>
    <mergeCell ref="E10:F10"/>
    <mergeCell ref="J10:K10"/>
    <mergeCell ref="C3:L3"/>
    <mergeCell ref="C4:J4"/>
    <mergeCell ref="C5:L5"/>
    <mergeCell ref="E7:I7"/>
    <mergeCell ref="K7:L7"/>
  </mergeCells>
  <printOptions horizontalCentered="1" verticalCentered="1"/>
  <pageMargins left="0.39370078740157499" right="0.39370078740157499" top="0.39370078740157499" bottom="0.39370078740157499" header="0" footer="0"/>
  <pageSetup paperSize="119" scale="29" orientation="portrait" horizontalDpi="120" verticalDpi="7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98"/>
  <sheetViews>
    <sheetView topLeftCell="A10" zoomScale="50" zoomScaleNormal="50" workbookViewId="0">
      <selection activeCell="I29" sqref="I29"/>
    </sheetView>
  </sheetViews>
  <sheetFormatPr baseColWidth="10" defaultColWidth="11" defaultRowHeight="12.75"/>
  <cols>
    <col min="1" max="1" width="3.7109375" customWidth="1"/>
    <col min="2" max="2" width="0.85546875" customWidth="1"/>
    <col min="3" max="3" width="32.7109375" customWidth="1"/>
    <col min="4" max="4" width="20.7109375" customWidth="1"/>
    <col min="5" max="5" width="32.7109375" customWidth="1"/>
    <col min="6" max="6" width="18.7109375" customWidth="1"/>
    <col min="7" max="7" width="30.7109375" customWidth="1"/>
    <col min="8" max="8" width="18.7109375" customWidth="1"/>
    <col min="9" max="9" width="30.7109375" customWidth="1"/>
    <col min="10" max="10" width="40.7109375" customWidth="1"/>
    <col min="11" max="11" width="38.7109375" customWidth="1"/>
    <col min="12" max="12" width="48.7109375" customWidth="1"/>
    <col min="13" max="13" width="0.85546875" customWidth="1"/>
  </cols>
  <sheetData>
    <row r="1" spans="2:13" ht="35.1" customHeight="1"/>
    <row r="2" spans="2:13" ht="5.0999999999999996" customHeight="1">
      <c r="B2" s="80" t="s">
        <v>71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3" ht="69.95" customHeight="1">
      <c r="B3" s="83"/>
      <c r="C3" s="165" t="s">
        <v>72</v>
      </c>
      <c r="D3" s="166"/>
      <c r="E3" s="166"/>
      <c r="F3" s="166"/>
      <c r="G3" s="166"/>
      <c r="H3" s="166"/>
      <c r="I3" s="166"/>
      <c r="J3" s="166"/>
      <c r="K3" s="166"/>
      <c r="L3" s="167"/>
      <c r="M3" s="84"/>
    </row>
    <row r="4" spans="2:13" ht="45" customHeight="1">
      <c r="B4" s="83"/>
      <c r="C4" s="168" t="s">
        <v>73</v>
      </c>
      <c r="D4" s="169"/>
      <c r="E4" s="169"/>
      <c r="F4" s="169"/>
      <c r="G4" s="169"/>
      <c r="H4" s="169"/>
      <c r="I4" s="169"/>
      <c r="J4" s="170"/>
      <c r="K4" s="85" t="s">
        <v>74</v>
      </c>
      <c r="L4" s="85">
        <f>'NOMINA EMPELADOS CDO'!B15</f>
        <v>5</v>
      </c>
      <c r="M4" s="84"/>
    </row>
    <row r="5" spans="2:13" ht="45" customHeight="1">
      <c r="B5" s="83"/>
      <c r="C5" s="171" t="str">
        <f>'NOMINA EMPELADOS CDO'!C6</f>
        <v>DESDE EL 01/04 AL  30/04/2026</v>
      </c>
      <c r="D5" s="172"/>
      <c r="E5" s="172"/>
      <c r="F5" s="172"/>
      <c r="G5" s="172"/>
      <c r="H5" s="172"/>
      <c r="I5" s="172"/>
      <c r="J5" s="172"/>
      <c r="K5" s="172"/>
      <c r="L5" s="173"/>
      <c r="M5" s="84"/>
    </row>
    <row r="6" spans="2:13" ht="5.0999999999999996" customHeight="1">
      <c r="B6" s="83"/>
      <c r="C6" s="86"/>
      <c r="D6" s="87"/>
      <c r="E6" s="87"/>
      <c r="F6" s="87"/>
      <c r="G6" s="87"/>
      <c r="H6" s="87"/>
      <c r="I6" s="87"/>
      <c r="J6" s="87"/>
      <c r="K6" s="87"/>
      <c r="L6" s="87"/>
      <c r="M6" s="84"/>
    </row>
    <row r="7" spans="2:13" ht="54.95" customHeight="1">
      <c r="B7" s="83"/>
      <c r="C7" s="88" t="s">
        <v>75</v>
      </c>
      <c r="D7" s="89"/>
      <c r="E7" s="174" t="str">
        <f>'NOMINA EMPELADOS CDO'!C15</f>
        <v xml:space="preserve"> MARIA VICTORIA GUAITA CANELON</v>
      </c>
      <c r="F7" s="174"/>
      <c r="G7" s="174"/>
      <c r="H7" s="174"/>
      <c r="I7" s="174"/>
      <c r="J7" s="90" t="s">
        <v>76</v>
      </c>
      <c r="K7" s="175">
        <f>'NOMINA EMPELADOS CDO'!D11</f>
        <v>16067033</v>
      </c>
      <c r="L7" s="176"/>
      <c r="M7" s="84"/>
    </row>
    <row r="8" spans="2:13" ht="54.95" customHeight="1">
      <c r="B8" s="83"/>
      <c r="C8" s="91" t="s">
        <v>77</v>
      </c>
      <c r="D8" s="92"/>
      <c r="E8" s="93">
        <f>'NOMINA EMPELADOS CDO'!F15</f>
        <v>45839</v>
      </c>
      <c r="F8" s="94" t="s">
        <v>78</v>
      </c>
      <c r="G8" s="177" t="str">
        <f>'NOMINA EMPELADOS CDO'!G15</f>
        <v>CAJERA</v>
      </c>
      <c r="H8" s="177"/>
      <c r="I8" s="177"/>
      <c r="J8" s="94" t="s">
        <v>79</v>
      </c>
      <c r="K8" s="178" t="str">
        <f>'NOMINA EMPELADOS CDO'!H15</f>
        <v>ATENCION AL CLIENTE</v>
      </c>
      <c r="L8" s="179"/>
      <c r="M8" s="84"/>
    </row>
    <row r="9" spans="2:13" ht="39.950000000000003" customHeight="1">
      <c r="B9" s="83"/>
      <c r="C9" s="180" t="s">
        <v>80</v>
      </c>
      <c r="D9" s="181"/>
      <c r="E9" s="92"/>
      <c r="F9" s="92"/>
      <c r="G9" s="95"/>
      <c r="H9" s="95"/>
      <c r="I9" s="95"/>
      <c r="J9" s="92"/>
      <c r="K9" s="92"/>
      <c r="L9" s="96"/>
      <c r="M9" s="84"/>
    </row>
    <row r="10" spans="2:13" ht="60" customHeight="1">
      <c r="B10" s="83"/>
      <c r="C10" s="97" t="s">
        <v>81</v>
      </c>
      <c r="D10" s="98">
        <f>'NOMINA EMPELADOS CDO'!I15</f>
        <v>30</v>
      </c>
      <c r="E10" s="182" t="s">
        <v>82</v>
      </c>
      <c r="F10" s="182"/>
      <c r="G10" s="99">
        <f>'NOMINA EMPELADOS CDO'!J15</f>
        <v>43.333333333333336</v>
      </c>
      <c r="H10" s="100" t="s">
        <v>83</v>
      </c>
      <c r="I10" s="101">
        <f>G10*D10</f>
        <v>1300</v>
      </c>
      <c r="J10" s="183" t="s">
        <v>84</v>
      </c>
      <c r="K10" s="183"/>
      <c r="L10" s="102">
        <f>G10*30</f>
        <v>1300</v>
      </c>
      <c r="M10" s="84"/>
    </row>
    <row r="11" spans="2:13" ht="30" customHeight="1">
      <c r="B11" s="83"/>
      <c r="C11" s="103" t="s">
        <v>85</v>
      </c>
      <c r="D11" s="104"/>
      <c r="E11" s="105" t="s">
        <v>86</v>
      </c>
      <c r="F11" s="105">
        <f>'NOMINA EMPELADOS CDO'!P20</f>
        <v>0</v>
      </c>
      <c r="G11" s="101"/>
      <c r="H11" s="100" t="s">
        <v>83</v>
      </c>
      <c r="I11" s="101">
        <f>'NOMINA EMPELADOS CDO'!Q20</f>
        <v>0</v>
      </c>
      <c r="J11" s="92"/>
      <c r="K11" s="92"/>
      <c r="L11" s="96"/>
      <c r="M11" s="84"/>
    </row>
    <row r="12" spans="2:13" ht="30" customHeight="1">
      <c r="B12" s="83"/>
      <c r="C12" s="103" t="s">
        <v>87</v>
      </c>
      <c r="D12" s="104"/>
      <c r="E12" s="105" t="s">
        <v>86</v>
      </c>
      <c r="F12" s="105">
        <f>'NOMINA EMPELADOS CDO'!R20</f>
        <v>0</v>
      </c>
      <c r="G12" s="101"/>
      <c r="H12" s="100" t="s">
        <v>83</v>
      </c>
      <c r="I12" s="101">
        <f>'NOMINA EMPELADOS CDO'!S20</f>
        <v>0</v>
      </c>
      <c r="J12" s="92"/>
      <c r="K12" s="92"/>
      <c r="L12" s="96"/>
      <c r="M12" s="84"/>
    </row>
    <row r="13" spans="2:13" ht="30" customHeight="1">
      <c r="B13" s="83"/>
      <c r="C13" s="103" t="s">
        <v>55</v>
      </c>
      <c r="D13" s="104"/>
      <c r="E13" s="105" t="s">
        <v>86</v>
      </c>
      <c r="F13" s="105">
        <f>'NOMINA EMPELADOS CDO'!M20</f>
        <v>0</v>
      </c>
      <c r="G13" s="101"/>
      <c r="H13" s="100" t="s">
        <v>83</v>
      </c>
      <c r="I13" s="101">
        <f>'NOMINA EMPELADOS CDO'!O20</f>
        <v>0</v>
      </c>
      <c r="J13" s="92"/>
      <c r="K13" s="92"/>
      <c r="L13" s="96"/>
      <c r="M13" s="84"/>
    </row>
    <row r="14" spans="2:13" ht="30" customHeight="1">
      <c r="B14" s="83"/>
      <c r="C14" s="106" t="s">
        <v>88</v>
      </c>
      <c r="D14" s="107"/>
      <c r="E14" s="105" t="s">
        <v>89</v>
      </c>
      <c r="F14" s="105"/>
      <c r="G14" s="101"/>
      <c r="H14" s="100" t="s">
        <v>83</v>
      </c>
      <c r="I14" s="101">
        <f>'NOMINA EMPELADOS CDO'!T20</f>
        <v>0</v>
      </c>
      <c r="J14" s="92"/>
      <c r="K14" s="92"/>
      <c r="L14" s="96"/>
      <c r="M14" s="84"/>
    </row>
    <row r="15" spans="2:13" ht="30" customHeight="1">
      <c r="B15" s="83"/>
      <c r="C15" s="106" t="s">
        <v>54</v>
      </c>
      <c r="D15" s="107"/>
      <c r="E15" s="105" t="s">
        <v>86</v>
      </c>
      <c r="F15" s="105">
        <f>'NOMINA EMPELADOS CDO'!I20</f>
        <v>0</v>
      </c>
      <c r="G15" s="101"/>
      <c r="H15" s="100" t="s">
        <v>83</v>
      </c>
      <c r="I15" s="101">
        <f>'NOMINA EMPELADOS CDO'!J20</f>
        <v>0</v>
      </c>
      <c r="J15" s="92"/>
      <c r="K15" s="92"/>
      <c r="L15" s="96"/>
      <c r="M15" s="84"/>
    </row>
    <row r="16" spans="2:13" ht="30" customHeight="1">
      <c r="B16" s="83"/>
      <c r="C16" s="106" t="s">
        <v>90</v>
      </c>
      <c r="D16" s="107"/>
      <c r="E16" s="105" t="s">
        <v>89</v>
      </c>
      <c r="F16" s="184"/>
      <c r="G16" s="184"/>
      <c r="H16" s="100" t="s">
        <v>83</v>
      </c>
      <c r="I16" s="101">
        <f>'NOMINA EMPELADOS CDO'!P11</f>
        <v>0</v>
      </c>
      <c r="J16" s="92"/>
      <c r="K16" s="92"/>
      <c r="L16" s="96"/>
      <c r="M16" s="84"/>
    </row>
    <row r="17" spans="2:13" ht="30" customHeight="1">
      <c r="B17" s="83"/>
      <c r="C17" s="106" t="s">
        <v>91</v>
      </c>
      <c r="D17" s="92"/>
      <c r="E17" s="108"/>
      <c r="F17" s="109">
        <f>'NOMINA EMPELADOS CDO'!R11</f>
        <v>0</v>
      </c>
      <c r="G17" s="108" t="s">
        <v>92</v>
      </c>
      <c r="H17" s="100" t="s">
        <v>83</v>
      </c>
      <c r="I17" s="101">
        <f>'NOMINA EMPELADOS CDO'!S11</f>
        <v>0</v>
      </c>
      <c r="J17" s="92"/>
      <c r="K17" s="92"/>
      <c r="L17" s="96"/>
      <c r="M17" s="84"/>
    </row>
    <row r="18" spans="2:13" ht="30" customHeight="1">
      <c r="B18" s="83"/>
      <c r="C18" s="106" t="s">
        <v>17</v>
      </c>
      <c r="D18" s="110"/>
      <c r="E18" s="105"/>
      <c r="F18" s="111"/>
      <c r="G18" s="101"/>
      <c r="H18" s="100" t="s">
        <v>83</v>
      </c>
      <c r="I18" s="112">
        <f>+'NOMINA EMPELADOS CDO'!O15</f>
        <v>8442.384</v>
      </c>
      <c r="J18" s="113"/>
      <c r="K18" s="92"/>
      <c r="L18" s="96"/>
      <c r="M18" s="84"/>
    </row>
    <row r="19" spans="2:13" ht="39.950000000000003" customHeight="1">
      <c r="B19" s="83"/>
      <c r="C19" s="103"/>
      <c r="D19" s="92"/>
      <c r="E19" s="185" t="s">
        <v>93</v>
      </c>
      <c r="F19" s="185"/>
      <c r="G19" s="185"/>
      <c r="H19" s="114" t="s">
        <v>83</v>
      </c>
      <c r="I19" s="115">
        <f>SUM(I10:I18)</f>
        <v>9742.384</v>
      </c>
      <c r="J19" s="116"/>
      <c r="K19" s="92"/>
      <c r="L19" s="96"/>
      <c r="M19" s="84"/>
    </row>
    <row r="20" spans="2:13" ht="39.950000000000003" customHeight="1">
      <c r="B20" s="83"/>
      <c r="C20" s="180" t="s">
        <v>94</v>
      </c>
      <c r="D20" s="181"/>
      <c r="E20" s="92"/>
      <c r="F20" s="92"/>
      <c r="G20" s="92"/>
      <c r="H20" s="92"/>
      <c r="I20" s="92"/>
      <c r="J20" s="92"/>
      <c r="K20" s="92"/>
      <c r="L20" s="96"/>
      <c r="M20" s="84"/>
    </row>
    <row r="21" spans="2:13" ht="30" customHeight="1">
      <c r="B21" s="83"/>
      <c r="C21" s="103" t="s">
        <v>95</v>
      </c>
      <c r="D21" s="92"/>
      <c r="E21" s="111"/>
      <c r="F21" s="100" t="s">
        <v>96</v>
      </c>
      <c r="G21" s="117">
        <f>'NOMINA EMPELADOS CDO'!U15</f>
        <v>24</v>
      </c>
      <c r="H21" s="92"/>
      <c r="I21" s="101"/>
      <c r="J21" s="92"/>
      <c r="K21" s="92"/>
      <c r="L21" s="96"/>
      <c r="M21" s="84"/>
    </row>
    <row r="22" spans="2:13" ht="30" customHeight="1">
      <c r="B22" s="83"/>
      <c r="C22" s="103" t="s">
        <v>29</v>
      </c>
      <c r="D22" s="92"/>
      <c r="E22" s="111"/>
      <c r="F22" s="100" t="s">
        <v>96</v>
      </c>
      <c r="G22" s="117">
        <f>'NOMINA EMPELADOS CDO'!X15</f>
        <v>1220.233596</v>
      </c>
      <c r="H22" s="92"/>
      <c r="I22" s="101"/>
      <c r="J22" s="92"/>
      <c r="K22" s="92"/>
      <c r="L22" s="96"/>
      <c r="M22" s="84"/>
    </row>
    <row r="23" spans="2:13" ht="30" customHeight="1">
      <c r="B23" s="83"/>
      <c r="C23" s="103" t="s">
        <v>97</v>
      </c>
      <c r="D23" s="92"/>
      <c r="E23" s="111"/>
      <c r="F23" s="100" t="s">
        <v>96</v>
      </c>
      <c r="G23" s="117">
        <f>'NOMINA EMPELADOS CDO'!W15</f>
        <v>730.67880000000002</v>
      </c>
      <c r="H23" s="92"/>
      <c r="I23" s="101"/>
      <c r="J23" s="92"/>
      <c r="K23" s="92"/>
      <c r="L23" s="96"/>
      <c r="M23" s="84"/>
    </row>
    <row r="24" spans="2:13" ht="30" customHeight="1">
      <c r="B24" s="83"/>
      <c r="C24" s="103" t="s">
        <v>98</v>
      </c>
      <c r="D24" s="92"/>
      <c r="E24" s="111"/>
      <c r="F24" s="100" t="s">
        <v>96</v>
      </c>
      <c r="G24" s="117">
        <f>'NOMINA EMPELADOS CDO'!V15</f>
        <v>6</v>
      </c>
      <c r="H24" s="92"/>
      <c r="I24" s="101"/>
      <c r="J24" s="92"/>
      <c r="K24" s="92"/>
      <c r="L24" s="96"/>
      <c r="M24" s="84"/>
    </row>
    <row r="25" spans="2:13" ht="30" customHeight="1">
      <c r="B25" s="83"/>
      <c r="C25" s="103" t="s">
        <v>99</v>
      </c>
      <c r="D25" s="92"/>
      <c r="E25" s="111"/>
      <c r="F25" s="100" t="s">
        <v>96</v>
      </c>
      <c r="G25" s="117">
        <f>'NOMINA EMPELADOS CDO'!Y15</f>
        <v>0</v>
      </c>
      <c r="H25" s="92"/>
      <c r="I25" s="101"/>
      <c r="J25" s="92"/>
      <c r="K25" s="92"/>
      <c r="L25" s="96"/>
      <c r="M25" s="84"/>
    </row>
    <row r="26" spans="2:13" ht="30" customHeight="1">
      <c r="B26" s="83"/>
      <c r="C26" s="103" t="s">
        <v>100</v>
      </c>
      <c r="D26" s="92"/>
      <c r="E26" s="111"/>
      <c r="F26" s="100" t="s">
        <v>96</v>
      </c>
      <c r="G26" s="118">
        <f>'NOMINA EMPELADOS CDO'!AA15</f>
        <v>0</v>
      </c>
      <c r="H26" s="92"/>
      <c r="I26" s="101"/>
      <c r="J26" s="92"/>
      <c r="K26" s="92"/>
      <c r="L26" s="96"/>
      <c r="M26" s="84"/>
    </row>
    <row r="27" spans="2:13" ht="50.1" customHeight="1">
      <c r="B27" s="83"/>
      <c r="C27" s="186" t="s">
        <v>101</v>
      </c>
      <c r="D27" s="187"/>
      <c r="E27" s="187"/>
      <c r="F27" s="100" t="s">
        <v>96</v>
      </c>
      <c r="G27" s="119">
        <f>SUM(G21:G26)</f>
        <v>1980.9123960000002</v>
      </c>
      <c r="H27" s="188" t="s">
        <v>102</v>
      </c>
      <c r="I27" s="188"/>
      <c r="J27" s="188"/>
      <c r="K27" s="120">
        <f>I19-G27</f>
        <v>7761.4716040000003</v>
      </c>
      <c r="L27" s="96"/>
      <c r="M27" s="84"/>
    </row>
    <row r="28" spans="2:13" ht="35.1" customHeight="1">
      <c r="B28" s="83"/>
      <c r="C28" s="103"/>
      <c r="D28" s="92"/>
      <c r="E28" s="94"/>
      <c r="F28" s="94"/>
      <c r="G28" s="94"/>
      <c r="H28" s="94"/>
      <c r="I28" s="121"/>
      <c r="J28" s="121"/>
      <c r="K28" s="92"/>
      <c r="L28" s="96"/>
      <c r="M28" s="84"/>
    </row>
    <row r="29" spans="2:13" ht="66" customHeight="1">
      <c r="B29" s="83"/>
      <c r="C29" s="189"/>
      <c r="D29" s="190"/>
      <c r="E29" s="190"/>
      <c r="F29" s="94"/>
      <c r="G29" s="94"/>
      <c r="H29" s="94"/>
      <c r="I29" s="121"/>
      <c r="J29" s="194" t="s">
        <v>103</v>
      </c>
      <c r="K29" s="92"/>
      <c r="L29" s="96"/>
      <c r="M29" s="84"/>
    </row>
    <row r="30" spans="2:13" ht="35.1" customHeight="1">
      <c r="B30" s="83"/>
      <c r="C30" s="103"/>
      <c r="D30" s="92"/>
      <c r="E30" s="92"/>
      <c r="F30" s="92"/>
      <c r="G30" s="92"/>
      <c r="H30" s="92"/>
      <c r="I30" s="92"/>
      <c r="J30" s="195" t="s">
        <v>103</v>
      </c>
      <c r="K30" s="122"/>
      <c r="L30" s="123"/>
      <c r="M30" s="84"/>
    </row>
    <row r="31" spans="2:13" ht="9.9499999999999993" customHeight="1">
      <c r="B31" s="83"/>
      <c r="C31" s="124"/>
      <c r="D31" s="125"/>
      <c r="E31" s="125"/>
      <c r="F31" s="125"/>
      <c r="G31" s="126"/>
      <c r="H31" s="125"/>
      <c r="I31" s="125"/>
      <c r="J31" s="125"/>
      <c r="K31" s="125"/>
      <c r="L31" s="127"/>
      <c r="M31" s="84"/>
    </row>
    <row r="32" spans="2:13" ht="5.0999999999999996" customHeight="1">
      <c r="B32" s="128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30"/>
    </row>
    <row r="33" spans="2:13" ht="120" customHeight="1"/>
    <row r="34" spans="2:13" ht="5.0999999999999996" customHeight="1"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</row>
    <row r="35" spans="2:13" ht="69.75" customHeight="1">
      <c r="B35" s="83"/>
      <c r="C35" s="165" t="str">
        <f>C3</f>
        <v>COMERCIALIZADORA CASA DULCE ORIENTE, C.A.                                                             RIF: J-50223534-5</v>
      </c>
      <c r="D35" s="166"/>
      <c r="E35" s="166"/>
      <c r="F35" s="166"/>
      <c r="G35" s="166"/>
      <c r="H35" s="166"/>
      <c r="I35" s="166"/>
      <c r="J35" s="166"/>
      <c r="K35" s="166"/>
      <c r="L35" s="167"/>
      <c r="M35" s="84"/>
    </row>
    <row r="36" spans="2:13" ht="45" customHeight="1">
      <c r="B36" s="83"/>
      <c r="C36" s="168" t="s">
        <v>73</v>
      </c>
      <c r="D36" s="169"/>
      <c r="E36" s="169"/>
      <c r="F36" s="169"/>
      <c r="G36" s="169"/>
      <c r="H36" s="169"/>
      <c r="I36" s="169"/>
      <c r="J36" s="170"/>
      <c r="K36" s="85" t="s">
        <v>74</v>
      </c>
      <c r="L36" s="85">
        <f>'NOMINA EMPELADOS CDO'!B12</f>
        <v>2</v>
      </c>
      <c r="M36" s="84"/>
    </row>
    <row r="37" spans="2:13" ht="45" customHeight="1">
      <c r="B37" s="83"/>
      <c r="C37" s="171" t="str">
        <f>'NOMINA EMPELADOS CDO'!C6</f>
        <v>DESDE EL 01/04 AL  30/04/2026</v>
      </c>
      <c r="D37" s="172"/>
      <c r="E37" s="172"/>
      <c r="F37" s="172"/>
      <c r="G37" s="172"/>
      <c r="H37" s="172"/>
      <c r="I37" s="172"/>
      <c r="J37" s="172"/>
      <c r="K37" s="172"/>
      <c r="L37" s="173"/>
      <c r="M37" s="84"/>
    </row>
    <row r="38" spans="2:13" ht="5.0999999999999996" customHeight="1">
      <c r="B38" s="83"/>
      <c r="C38" s="86"/>
      <c r="D38" s="87"/>
      <c r="E38" s="87"/>
      <c r="F38" s="87"/>
      <c r="G38" s="87"/>
      <c r="H38" s="87"/>
      <c r="I38" s="87"/>
      <c r="J38" s="87"/>
      <c r="K38" s="87"/>
      <c r="L38" s="87"/>
      <c r="M38" s="84"/>
    </row>
    <row r="39" spans="2:13" ht="54.75" customHeight="1">
      <c r="B39" s="83"/>
      <c r="C39" s="88" t="s">
        <v>75</v>
      </c>
      <c r="D39" s="89"/>
      <c r="E39" s="174"/>
      <c r="F39" s="174"/>
      <c r="G39" s="174"/>
      <c r="H39" s="174"/>
      <c r="I39" s="174"/>
      <c r="J39" s="90" t="s">
        <v>76</v>
      </c>
      <c r="K39" s="175"/>
      <c r="L39" s="176"/>
      <c r="M39" s="84"/>
    </row>
    <row r="40" spans="2:13" ht="54.95" customHeight="1">
      <c r="B40" s="83"/>
      <c r="C40" s="91" t="s">
        <v>77</v>
      </c>
      <c r="D40" s="92"/>
      <c r="E40" s="93">
        <f>'NOMINA EMPELADOS CDO'!F12</f>
        <v>45001</v>
      </c>
      <c r="F40" s="94" t="s">
        <v>78</v>
      </c>
      <c r="G40" s="177" t="str">
        <f>'NOMINA EMPELADOS CDO'!G12</f>
        <v>LOGISTICA</v>
      </c>
      <c r="H40" s="177"/>
      <c r="I40" s="177"/>
      <c r="J40" s="94" t="s">
        <v>79</v>
      </c>
      <c r="K40" s="178" t="str">
        <f>'NOMINA EMPELADOS CDO'!H12</f>
        <v>OPERACIONES</v>
      </c>
      <c r="L40" s="179"/>
      <c r="M40" s="84"/>
    </row>
    <row r="41" spans="2:13" ht="39.950000000000003" customHeight="1">
      <c r="B41" s="83"/>
      <c r="C41" s="180" t="s">
        <v>80</v>
      </c>
      <c r="D41" s="181"/>
      <c r="E41" s="92"/>
      <c r="F41" s="92"/>
      <c r="G41" s="95"/>
      <c r="H41" s="95"/>
      <c r="I41" s="95"/>
      <c r="J41" s="92"/>
      <c r="K41" s="92"/>
      <c r="L41" s="96"/>
      <c r="M41" s="84"/>
    </row>
    <row r="42" spans="2:13" ht="60" customHeight="1">
      <c r="B42" s="83"/>
      <c r="C42" s="97" t="s">
        <v>81</v>
      </c>
      <c r="D42" s="131">
        <f>'NOMINA EMPELADOS CDO'!I12</f>
        <v>30</v>
      </c>
      <c r="E42" s="182" t="s">
        <v>82</v>
      </c>
      <c r="F42" s="182"/>
      <c r="G42" s="99">
        <f>'NOMINA EMPELADOS CDO'!J12</f>
        <v>43.333333333333336</v>
      </c>
      <c r="H42" s="100" t="s">
        <v>96</v>
      </c>
      <c r="I42" s="101">
        <f>G42*D42</f>
        <v>1300</v>
      </c>
      <c r="J42" s="183" t="s">
        <v>84</v>
      </c>
      <c r="K42" s="183"/>
      <c r="L42" s="102">
        <f>G42*30</f>
        <v>1300</v>
      </c>
      <c r="M42" s="84"/>
    </row>
    <row r="43" spans="2:13" ht="30" customHeight="1">
      <c r="B43" s="83"/>
      <c r="C43" s="103" t="s">
        <v>85</v>
      </c>
      <c r="D43" s="104"/>
      <c r="E43" s="105" t="s">
        <v>86</v>
      </c>
      <c r="F43" s="105">
        <f>'NOMINA EMPELADOS CDO'!P21</f>
        <v>0</v>
      </c>
      <c r="G43" s="101"/>
      <c r="H43" s="100" t="s">
        <v>96</v>
      </c>
      <c r="I43" s="101">
        <f>'NOMINA EMPELADOS CDO'!Q21</f>
        <v>0</v>
      </c>
      <c r="J43" s="92"/>
      <c r="K43" s="92"/>
      <c r="L43" s="96"/>
      <c r="M43" s="84"/>
    </row>
    <row r="44" spans="2:13" ht="30" customHeight="1">
      <c r="B44" s="83"/>
      <c r="C44" s="103" t="s">
        <v>87</v>
      </c>
      <c r="D44" s="104"/>
      <c r="E44" s="105" t="s">
        <v>86</v>
      </c>
      <c r="F44" s="105">
        <f>'NOMINA EMPELADOS CDO'!R21</f>
        <v>0</v>
      </c>
      <c r="G44" s="101"/>
      <c r="H44" s="100" t="s">
        <v>96</v>
      </c>
      <c r="I44" s="101">
        <f>'NOMINA EMPELADOS CDO'!S21</f>
        <v>0</v>
      </c>
      <c r="J44" s="92"/>
      <c r="K44" s="92"/>
      <c r="L44" s="96"/>
      <c r="M44" s="84"/>
    </row>
    <row r="45" spans="2:13" ht="30" customHeight="1">
      <c r="B45" s="83"/>
      <c r="C45" s="103" t="s">
        <v>55</v>
      </c>
      <c r="D45" s="104"/>
      <c r="E45" s="105" t="s">
        <v>86</v>
      </c>
      <c r="F45" s="105">
        <f>'NOMINA EMPELADOS CDO'!M21</f>
        <v>0</v>
      </c>
      <c r="G45" s="101"/>
      <c r="H45" s="100" t="s">
        <v>96</v>
      </c>
      <c r="I45" s="101">
        <f>'NOMINA EMPELADOS CDO'!O21</f>
        <v>0</v>
      </c>
      <c r="J45" s="92"/>
      <c r="K45" s="92"/>
      <c r="L45" s="96"/>
      <c r="M45" s="84"/>
    </row>
    <row r="46" spans="2:13" ht="30" customHeight="1">
      <c r="B46" s="83"/>
      <c r="C46" s="106" t="s">
        <v>88</v>
      </c>
      <c r="D46" s="107"/>
      <c r="E46" s="105" t="s">
        <v>89</v>
      </c>
      <c r="F46" s="105"/>
      <c r="G46" s="101"/>
      <c r="H46" s="100" t="s">
        <v>96</v>
      </c>
      <c r="I46" s="101">
        <f>'NOMINA EMPELADOS CDO'!T21</f>
        <v>0</v>
      </c>
      <c r="J46" s="92"/>
      <c r="K46" s="92"/>
      <c r="L46" s="96"/>
      <c r="M46" s="84"/>
    </row>
    <row r="47" spans="2:13" ht="30" customHeight="1">
      <c r="B47" s="83"/>
      <c r="C47" s="106" t="s">
        <v>54</v>
      </c>
      <c r="D47" s="107"/>
      <c r="E47" s="105" t="s">
        <v>86</v>
      </c>
      <c r="F47" s="105">
        <f>'NOMINA EMPELADOS CDO'!I21</f>
        <v>0</v>
      </c>
      <c r="G47" s="101"/>
      <c r="H47" s="100" t="s">
        <v>96</v>
      </c>
      <c r="I47" s="101">
        <f>'NOMINA EMPELADOS CDO'!J21</f>
        <v>0</v>
      </c>
      <c r="J47" s="92"/>
      <c r="K47" s="92"/>
      <c r="L47" s="96"/>
      <c r="M47" s="84"/>
    </row>
    <row r="48" spans="2:13" ht="30" customHeight="1">
      <c r="B48" s="83"/>
      <c r="C48" s="106" t="s">
        <v>90</v>
      </c>
      <c r="D48" s="107"/>
      <c r="E48" s="105" t="s">
        <v>89</v>
      </c>
      <c r="F48" s="184"/>
      <c r="G48" s="184"/>
      <c r="H48" s="100" t="s">
        <v>96</v>
      </c>
      <c r="I48" s="101">
        <f>'NOMINA EMPELADOS CDO'!P12</f>
        <v>0</v>
      </c>
      <c r="J48" s="92"/>
      <c r="K48" s="92"/>
      <c r="L48" s="96"/>
      <c r="M48" s="84"/>
    </row>
    <row r="49" spans="2:13" ht="30" customHeight="1">
      <c r="B49" s="83"/>
      <c r="C49" s="106" t="s">
        <v>91</v>
      </c>
      <c r="D49" s="92"/>
      <c r="E49" s="108"/>
      <c r="F49" s="109">
        <f>'NOMINA EMPELADOS CDO'!R12</f>
        <v>0</v>
      </c>
      <c r="G49" s="108" t="s">
        <v>92</v>
      </c>
      <c r="H49" s="100" t="s">
        <v>96</v>
      </c>
      <c r="I49" s="101">
        <f>'NOMINA EMPELADOS CDO'!S12</f>
        <v>0</v>
      </c>
      <c r="J49" s="92"/>
      <c r="K49" s="92"/>
      <c r="L49" s="96"/>
      <c r="M49" s="84"/>
    </row>
    <row r="50" spans="2:13" ht="30" customHeight="1">
      <c r="B50" s="83"/>
      <c r="C50" s="106" t="s">
        <v>108</v>
      </c>
      <c r="D50" s="110"/>
      <c r="E50" s="105"/>
      <c r="F50" s="111"/>
      <c r="G50" s="101"/>
      <c r="H50" s="100" t="s">
        <v>96</v>
      </c>
      <c r="I50" s="112">
        <f>'NOMINA EMPELADOS CDO'!Q12</f>
        <v>0</v>
      </c>
      <c r="J50" s="113"/>
      <c r="K50" s="92"/>
      <c r="L50" s="96"/>
      <c r="M50" s="84"/>
    </row>
    <row r="51" spans="2:13" ht="39.950000000000003" customHeight="1">
      <c r="B51" s="83"/>
      <c r="C51" s="103"/>
      <c r="D51" s="92"/>
      <c r="E51" s="185" t="s">
        <v>93</v>
      </c>
      <c r="F51" s="185"/>
      <c r="G51" s="185"/>
      <c r="H51" s="100" t="s">
        <v>96</v>
      </c>
      <c r="I51" s="115">
        <f>SUM(I42:I50)</f>
        <v>1300</v>
      </c>
      <c r="J51" s="116"/>
      <c r="K51" s="92"/>
      <c r="L51" s="96"/>
      <c r="M51" s="84"/>
    </row>
    <row r="52" spans="2:13" ht="39.75" customHeight="1">
      <c r="B52" s="83"/>
      <c r="C52" s="180" t="s">
        <v>94</v>
      </c>
      <c r="D52" s="181"/>
      <c r="E52" s="92"/>
      <c r="F52" s="92"/>
      <c r="G52" s="92"/>
      <c r="H52" s="92"/>
      <c r="I52" s="92"/>
      <c r="J52" s="92"/>
      <c r="K52" s="92"/>
      <c r="L52" s="96"/>
      <c r="M52" s="84"/>
    </row>
    <row r="53" spans="2:13" ht="30" customHeight="1">
      <c r="B53" s="83"/>
      <c r="C53" s="103" t="s">
        <v>95</v>
      </c>
      <c r="D53" s="92"/>
      <c r="E53" s="111"/>
      <c r="F53" s="100" t="s">
        <v>96</v>
      </c>
      <c r="G53" s="117">
        <f>'NOMINA EMPELADOS CDO'!U12</f>
        <v>24</v>
      </c>
      <c r="H53" s="92"/>
      <c r="I53" s="101"/>
      <c r="J53" s="92"/>
      <c r="K53" s="92"/>
      <c r="L53" s="96"/>
      <c r="M53" s="84"/>
    </row>
    <row r="54" spans="2:13" ht="30" customHeight="1">
      <c r="B54" s="83"/>
      <c r="C54" s="103" t="s">
        <v>29</v>
      </c>
      <c r="D54" s="92"/>
      <c r="E54" s="111"/>
      <c r="F54" s="100" t="s">
        <v>96</v>
      </c>
      <c r="G54" s="117">
        <f>'NOMINA EMPELADOS CDO'!X12</f>
        <v>759.90595200000007</v>
      </c>
      <c r="H54" s="92"/>
      <c r="I54" s="101"/>
      <c r="J54" s="92"/>
      <c r="K54" s="92"/>
      <c r="L54" s="96"/>
      <c r="M54" s="84"/>
    </row>
    <row r="55" spans="2:13" ht="30" customHeight="1">
      <c r="B55" s="83"/>
      <c r="C55" s="103" t="s">
        <v>97</v>
      </c>
      <c r="D55" s="92"/>
      <c r="E55" s="111"/>
      <c r="F55" s="100" t="s">
        <v>96</v>
      </c>
      <c r="G55" s="117">
        <f>'NOMINA EMPELADOS CDO'!W12</f>
        <v>730.67880000000002</v>
      </c>
      <c r="H55" s="92"/>
      <c r="I55" s="101"/>
      <c r="J55" s="92"/>
      <c r="K55" s="92"/>
      <c r="L55" s="96"/>
      <c r="M55" s="84"/>
    </row>
    <row r="56" spans="2:13" ht="30" customHeight="1">
      <c r="B56" s="83"/>
      <c r="C56" s="103" t="s">
        <v>98</v>
      </c>
      <c r="D56" s="92"/>
      <c r="E56" s="111"/>
      <c r="F56" s="100" t="s">
        <v>96</v>
      </c>
      <c r="G56" s="117">
        <f>'NOMINA EMPELADOS CDO'!V12</f>
        <v>6</v>
      </c>
      <c r="H56" s="92"/>
      <c r="I56" s="101"/>
      <c r="J56" s="92"/>
      <c r="K56" s="92"/>
      <c r="L56" s="96"/>
      <c r="M56" s="84"/>
    </row>
    <row r="57" spans="2:13" ht="30" customHeight="1">
      <c r="B57" s="83"/>
      <c r="C57" s="103" t="s">
        <v>99</v>
      </c>
      <c r="D57" s="92"/>
      <c r="E57" s="111" t="s">
        <v>104</v>
      </c>
      <c r="F57" s="100" t="s">
        <v>96</v>
      </c>
      <c r="G57" s="117">
        <f>'NOMINA EMPELADOS CDO'!Y12</f>
        <v>0</v>
      </c>
      <c r="H57" s="92"/>
      <c r="I57" s="101"/>
      <c r="J57" s="92"/>
      <c r="K57" s="92"/>
      <c r="L57" s="96"/>
      <c r="M57" s="84"/>
    </row>
    <row r="58" spans="2:13" ht="30" customHeight="1">
      <c r="B58" s="83"/>
      <c r="C58" s="103" t="s">
        <v>100</v>
      </c>
      <c r="D58" s="92"/>
      <c r="E58" s="111"/>
      <c r="F58" s="100" t="s">
        <v>96</v>
      </c>
      <c r="G58" s="118">
        <f>'NOMINA EMPELADOS CDO'!Z12</f>
        <v>0</v>
      </c>
      <c r="H58" s="92"/>
      <c r="I58" s="101"/>
      <c r="J58" s="92"/>
      <c r="K58" s="92"/>
      <c r="L58" s="96"/>
      <c r="M58" s="84"/>
    </row>
    <row r="59" spans="2:13" ht="50.1" customHeight="1">
      <c r="B59" s="83"/>
      <c r="C59" s="186" t="s">
        <v>101</v>
      </c>
      <c r="D59" s="187"/>
      <c r="E59" s="187"/>
      <c r="F59" s="100" t="s">
        <v>96</v>
      </c>
      <c r="G59" s="119">
        <f>SUM(G53:G58)</f>
        <v>1520.5847520000002</v>
      </c>
      <c r="H59" s="188" t="s">
        <v>105</v>
      </c>
      <c r="I59" s="188"/>
      <c r="J59" s="188"/>
      <c r="K59" s="120">
        <f>I51-G59</f>
        <v>-220.58475200000021</v>
      </c>
      <c r="L59" s="96"/>
      <c r="M59" s="84"/>
    </row>
    <row r="60" spans="2:13" ht="35.1" customHeight="1">
      <c r="B60" s="83"/>
      <c r="C60" s="103"/>
      <c r="D60" s="92"/>
      <c r="E60" s="94"/>
      <c r="F60" s="94"/>
      <c r="G60" s="94"/>
      <c r="H60" s="94"/>
      <c r="I60" s="121"/>
      <c r="J60" s="121"/>
      <c r="K60" s="92"/>
      <c r="L60" s="96"/>
      <c r="M60" s="84"/>
    </row>
    <row r="61" spans="2:13" ht="60" customHeight="1">
      <c r="B61" s="83"/>
      <c r="C61" s="189"/>
      <c r="D61" s="190"/>
      <c r="E61" s="190"/>
      <c r="F61" s="94"/>
      <c r="G61" s="132"/>
      <c r="H61" s="94"/>
      <c r="I61" s="121"/>
      <c r="J61" s="194" t="s">
        <v>103</v>
      </c>
      <c r="K61" s="101"/>
      <c r="L61" s="96"/>
      <c r="M61" s="84"/>
    </row>
    <row r="62" spans="2:13" ht="35.1" customHeight="1">
      <c r="B62" s="83"/>
      <c r="C62" s="103"/>
      <c r="D62" s="92"/>
      <c r="E62" s="92"/>
      <c r="F62" s="92"/>
      <c r="G62" s="92"/>
      <c r="H62" s="92"/>
      <c r="I62" s="92"/>
      <c r="J62" s="195" t="s">
        <v>103</v>
      </c>
      <c r="K62" s="122"/>
      <c r="L62" s="123"/>
      <c r="M62" s="84"/>
    </row>
    <row r="63" spans="2:13" ht="9.9499999999999993" customHeight="1">
      <c r="B63" s="83"/>
      <c r="C63" s="124"/>
      <c r="D63" s="125"/>
      <c r="E63" s="125"/>
      <c r="F63" s="125"/>
      <c r="G63" s="126"/>
      <c r="H63" s="125"/>
      <c r="I63" s="125"/>
      <c r="J63" s="125"/>
      <c r="K63" s="125"/>
      <c r="L63" s="127"/>
      <c r="M63" s="84"/>
    </row>
    <row r="64" spans="2:13" ht="5.0999999999999996" customHeight="1">
      <c r="B64" s="128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30"/>
    </row>
    <row r="65" spans="2:13" ht="6" customHeight="1">
      <c r="B65" s="128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30"/>
    </row>
    <row r="66" spans="2:13" ht="120" hidden="1" customHeight="1"/>
    <row r="67" spans="2:13" ht="5.0999999999999996" hidden="1" customHeight="1">
      <c r="B67" s="80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2"/>
    </row>
    <row r="68" spans="2:13" ht="69.95" hidden="1" customHeight="1">
      <c r="B68" s="83"/>
      <c r="C68" s="191" t="str">
        <f>+C35</f>
        <v>COMERCIALIZADORA CASA DULCE ORIENTE, C.A.                                                             RIF: J-50223534-5</v>
      </c>
      <c r="D68" s="192"/>
      <c r="E68" s="192"/>
      <c r="F68" s="192"/>
      <c r="G68" s="192"/>
      <c r="H68" s="192"/>
      <c r="I68" s="192"/>
      <c r="J68" s="192"/>
      <c r="K68" s="192"/>
      <c r="L68" s="193"/>
      <c r="M68" s="84"/>
    </row>
    <row r="69" spans="2:13" ht="45" hidden="1" customHeight="1">
      <c r="B69" s="83"/>
      <c r="C69" s="168" t="s">
        <v>73</v>
      </c>
      <c r="D69" s="169"/>
      <c r="E69" s="169"/>
      <c r="F69" s="169"/>
      <c r="G69" s="169"/>
      <c r="H69" s="169"/>
      <c r="I69" s="169"/>
      <c r="J69" s="170"/>
      <c r="K69" s="85" t="s">
        <v>74</v>
      </c>
      <c r="L69" s="85">
        <f>'NOMINA EMPELADOS CDO'!B13</f>
        <v>3</v>
      </c>
      <c r="M69" s="84"/>
    </row>
    <row r="70" spans="2:13" ht="45" hidden="1" customHeight="1">
      <c r="B70" s="83"/>
      <c r="C70" s="171" t="str">
        <f>'NOMINA EMPELADOS CDO'!C6</f>
        <v>DESDE EL 01/04 AL  30/04/2026</v>
      </c>
      <c r="D70" s="172"/>
      <c r="E70" s="172"/>
      <c r="F70" s="172"/>
      <c r="G70" s="172"/>
      <c r="H70" s="172"/>
      <c r="I70" s="172"/>
      <c r="J70" s="172"/>
      <c r="K70" s="172"/>
      <c r="L70" s="173"/>
      <c r="M70" s="84"/>
    </row>
    <row r="71" spans="2:13" ht="5.0999999999999996" hidden="1" customHeight="1">
      <c r="B71" s="83"/>
      <c r="C71" s="86"/>
      <c r="D71" s="87"/>
      <c r="E71" s="87"/>
      <c r="F71" s="87"/>
      <c r="G71" s="87"/>
      <c r="H71" s="87"/>
      <c r="I71" s="87"/>
      <c r="J71" s="87"/>
      <c r="K71" s="87"/>
      <c r="L71" s="87"/>
      <c r="M71" s="84"/>
    </row>
    <row r="72" spans="2:13" ht="54.95" hidden="1" customHeight="1">
      <c r="B72" s="83"/>
      <c r="C72" s="88" t="s">
        <v>75</v>
      </c>
      <c r="D72" s="89"/>
      <c r="E72" s="174" t="str">
        <f>'NOMINA EMPELADOS CDO'!C13</f>
        <v>JESÚS RAFAEL ARAY CAGUANA</v>
      </c>
      <c r="F72" s="174"/>
      <c r="G72" s="174"/>
      <c r="H72" s="174"/>
      <c r="I72" s="174"/>
      <c r="J72" s="90" t="s">
        <v>76</v>
      </c>
      <c r="K72" s="175">
        <f>'NOMINA EMPELADOS CDO'!D13</f>
        <v>8234036</v>
      </c>
      <c r="L72" s="176"/>
      <c r="M72" s="84"/>
    </row>
    <row r="73" spans="2:13" ht="54.95" hidden="1" customHeight="1">
      <c r="B73" s="83"/>
      <c r="C73" s="91" t="s">
        <v>77</v>
      </c>
      <c r="D73" s="92"/>
      <c r="E73" s="93">
        <f>'NOMINA EMPELADOS CDO'!F13</f>
        <v>45218</v>
      </c>
      <c r="F73" s="94" t="s">
        <v>78</v>
      </c>
      <c r="G73" s="177" t="str">
        <f>'NOMINA EMPELADOS CDO'!G13</f>
        <v>LOGISTICA</v>
      </c>
      <c r="H73" s="177"/>
      <c r="I73" s="177"/>
      <c r="J73" s="94" t="s">
        <v>79</v>
      </c>
      <c r="K73" s="178" t="str">
        <f>+'NOMINA EMPELADOS CDO'!H13</f>
        <v>OPERACIONES</v>
      </c>
      <c r="L73" s="179"/>
      <c r="M73" s="84"/>
    </row>
    <row r="74" spans="2:13" ht="39.950000000000003" hidden="1" customHeight="1">
      <c r="B74" s="83"/>
      <c r="C74" s="180" t="s">
        <v>80</v>
      </c>
      <c r="D74" s="181"/>
      <c r="E74" s="92"/>
      <c r="F74" s="92"/>
      <c r="G74" s="95"/>
      <c r="H74" s="95"/>
      <c r="I74" s="95"/>
      <c r="J74" s="92"/>
      <c r="K74" s="92"/>
      <c r="L74" s="96"/>
      <c r="M74" s="84"/>
    </row>
    <row r="75" spans="2:13" ht="60" hidden="1" customHeight="1">
      <c r="B75" s="83"/>
      <c r="C75" s="97" t="s">
        <v>81</v>
      </c>
      <c r="D75" s="98">
        <f>'NOMINA EMPELADOS CDO'!I13</f>
        <v>30</v>
      </c>
      <c r="E75" s="182" t="s">
        <v>82</v>
      </c>
      <c r="F75" s="182"/>
      <c r="G75" s="99">
        <f>'NOMINA EMPELADOS CDO'!J13</f>
        <v>43.333333333333336</v>
      </c>
      <c r="H75" s="100" t="s">
        <v>83</v>
      </c>
      <c r="I75" s="101">
        <f>G75*D75</f>
        <v>1300</v>
      </c>
      <c r="J75" s="183" t="s">
        <v>84</v>
      </c>
      <c r="K75" s="183"/>
      <c r="L75" s="102">
        <f>G75*30</f>
        <v>1300</v>
      </c>
      <c r="M75" s="84"/>
    </row>
    <row r="76" spans="2:13" ht="30" hidden="1" customHeight="1">
      <c r="B76" s="83"/>
      <c r="C76" s="103" t="s">
        <v>85</v>
      </c>
      <c r="D76" s="104"/>
      <c r="E76" s="105" t="s">
        <v>86</v>
      </c>
      <c r="F76" s="105">
        <f>'NOMINA EMPELADOS CDO'!P56</f>
        <v>0</v>
      </c>
      <c r="G76" s="101"/>
      <c r="H76" s="100" t="s">
        <v>83</v>
      </c>
      <c r="I76" s="101">
        <f>'NOMINA EMPELADOS CDO'!Q56</f>
        <v>0</v>
      </c>
      <c r="J76" s="92"/>
      <c r="K76" s="92"/>
      <c r="L76" s="96"/>
      <c r="M76" s="84"/>
    </row>
    <row r="77" spans="2:13" ht="30" hidden="1" customHeight="1">
      <c r="B77" s="83"/>
      <c r="C77" s="103" t="s">
        <v>87</v>
      </c>
      <c r="D77" s="104"/>
      <c r="E77" s="105" t="s">
        <v>86</v>
      </c>
      <c r="F77" s="105">
        <f>'NOMINA EMPELADOS CDO'!R56</f>
        <v>0</v>
      </c>
      <c r="G77" s="101"/>
      <c r="H77" s="100" t="s">
        <v>83</v>
      </c>
      <c r="I77" s="101">
        <f>'NOMINA EMPELADOS CDO'!S56</f>
        <v>0</v>
      </c>
      <c r="J77" s="92"/>
      <c r="K77" s="92"/>
      <c r="L77" s="96"/>
      <c r="M77" s="84"/>
    </row>
    <row r="78" spans="2:13" ht="30" hidden="1" customHeight="1">
      <c r="B78" s="83"/>
      <c r="C78" s="103" t="s">
        <v>55</v>
      </c>
      <c r="D78" s="104"/>
      <c r="E78" s="105" t="s">
        <v>86</v>
      </c>
      <c r="F78" s="105">
        <f>'NOMINA EMPELADOS CDO'!M56</f>
        <v>0</v>
      </c>
      <c r="G78" s="101"/>
      <c r="H78" s="100" t="s">
        <v>83</v>
      </c>
      <c r="I78" s="101">
        <f>'NOMINA EMPELADOS CDO'!O56</f>
        <v>0</v>
      </c>
      <c r="J78" s="92"/>
      <c r="K78" s="92"/>
      <c r="L78" s="96"/>
      <c r="M78" s="84"/>
    </row>
    <row r="79" spans="2:13" ht="30" hidden="1" customHeight="1">
      <c r="B79" s="83"/>
      <c r="C79" s="106" t="s">
        <v>88</v>
      </c>
      <c r="D79" s="107"/>
      <c r="E79" s="105" t="s">
        <v>89</v>
      </c>
      <c r="F79" s="105"/>
      <c r="G79" s="101"/>
      <c r="H79" s="100" t="s">
        <v>83</v>
      </c>
      <c r="I79" s="101">
        <f>'NOMINA EMPELADOS CDO'!T56</f>
        <v>0</v>
      </c>
      <c r="J79" s="92"/>
      <c r="K79" s="92"/>
      <c r="L79" s="96"/>
      <c r="M79" s="84"/>
    </row>
    <row r="80" spans="2:13" ht="30" hidden="1" customHeight="1">
      <c r="B80" s="83"/>
      <c r="C80" s="106" t="s">
        <v>54</v>
      </c>
      <c r="D80" s="107"/>
      <c r="E80" s="105" t="s">
        <v>86</v>
      </c>
      <c r="F80" s="105">
        <f>'NOMINA EMPELADOS CDO'!I56</f>
        <v>0</v>
      </c>
      <c r="G80" s="101"/>
      <c r="H80" s="100" t="s">
        <v>83</v>
      </c>
      <c r="I80" s="101">
        <f>'NOMINA EMPELADOS CDO'!J56</f>
        <v>0</v>
      </c>
      <c r="J80" s="92"/>
      <c r="K80" s="92"/>
      <c r="L80" s="96"/>
      <c r="M80" s="84"/>
    </row>
    <row r="81" spans="2:13" ht="30" hidden="1" customHeight="1">
      <c r="B81" s="83"/>
      <c r="C81" s="106" t="s">
        <v>90</v>
      </c>
      <c r="D81" s="107"/>
      <c r="E81" s="105" t="s">
        <v>89</v>
      </c>
      <c r="F81" s="184"/>
      <c r="G81" s="184"/>
      <c r="H81" s="100" t="s">
        <v>83</v>
      </c>
      <c r="I81" s="101">
        <f>'NOMINA EMPELADOS CDO'!P49</f>
        <v>0</v>
      </c>
      <c r="J81" s="92"/>
      <c r="K81" s="92"/>
      <c r="L81" s="96"/>
      <c r="M81" s="84"/>
    </row>
    <row r="82" spans="2:13" ht="30" hidden="1" customHeight="1">
      <c r="B82" s="83"/>
      <c r="C82" s="106" t="s">
        <v>91</v>
      </c>
      <c r="D82" s="92"/>
      <c r="E82" s="108"/>
      <c r="F82" s="109"/>
      <c r="G82" s="108" t="s">
        <v>92</v>
      </c>
      <c r="H82" s="100" t="s">
        <v>83</v>
      </c>
      <c r="I82" s="101">
        <f>'NOMINA EMPELADOS CDO'!S49</f>
        <v>0</v>
      </c>
      <c r="J82" s="92"/>
      <c r="K82" s="92"/>
      <c r="L82" s="96"/>
      <c r="M82" s="84"/>
    </row>
    <row r="83" spans="2:13" ht="30" hidden="1" customHeight="1">
      <c r="B83" s="83"/>
      <c r="C83" s="106" t="s">
        <v>17</v>
      </c>
      <c r="D83" s="110"/>
      <c r="E83" s="105"/>
      <c r="F83" s="111"/>
      <c r="G83" s="101"/>
      <c r="H83" s="100" t="s">
        <v>83</v>
      </c>
      <c r="I83" s="112">
        <f>+'NOMINA EMPELADOS CDO'!O13</f>
        <v>8442.384</v>
      </c>
      <c r="J83" s="113"/>
      <c r="K83" s="92"/>
      <c r="L83" s="96"/>
      <c r="M83" s="84"/>
    </row>
    <row r="84" spans="2:13" ht="39.950000000000003" hidden="1" customHeight="1">
      <c r="B84" s="83"/>
      <c r="C84" s="103"/>
      <c r="D84" s="92"/>
      <c r="E84" s="185" t="s">
        <v>93</v>
      </c>
      <c r="F84" s="185"/>
      <c r="G84" s="185"/>
      <c r="H84" s="114" t="s">
        <v>83</v>
      </c>
      <c r="I84" s="115">
        <f>SUM(I75:I83)</f>
        <v>9742.384</v>
      </c>
      <c r="J84" s="116"/>
      <c r="K84" s="92"/>
      <c r="L84" s="96"/>
      <c r="M84" s="84"/>
    </row>
    <row r="85" spans="2:13" ht="39.950000000000003" hidden="1" customHeight="1">
      <c r="B85" s="83"/>
      <c r="C85" s="180" t="s">
        <v>94</v>
      </c>
      <c r="D85" s="181"/>
      <c r="E85" s="92"/>
      <c r="F85" s="92"/>
      <c r="G85" s="92"/>
      <c r="H85" s="92"/>
      <c r="I85" s="92"/>
      <c r="J85" s="92"/>
      <c r="K85" s="92"/>
      <c r="L85" s="96"/>
      <c r="M85" s="84"/>
    </row>
    <row r="86" spans="2:13" ht="30" hidden="1" customHeight="1">
      <c r="B86" s="83"/>
      <c r="C86" s="103" t="s">
        <v>95</v>
      </c>
      <c r="D86" s="92"/>
      <c r="E86" s="111"/>
      <c r="F86" s="100" t="s">
        <v>96</v>
      </c>
      <c r="G86" s="117">
        <f>'NOMINA EMPELADOS CDO'!U13</f>
        <v>24</v>
      </c>
      <c r="H86" s="92"/>
      <c r="I86" s="101"/>
      <c r="J86" s="92"/>
      <c r="K86" s="92"/>
      <c r="L86" s="96"/>
      <c r="M86" s="84"/>
    </row>
    <row r="87" spans="2:13" ht="30" hidden="1" customHeight="1">
      <c r="B87" s="83"/>
      <c r="C87" s="103" t="s">
        <v>29</v>
      </c>
      <c r="D87" s="92"/>
      <c r="E87" s="111"/>
      <c r="F87" s="100" t="s">
        <v>96</v>
      </c>
      <c r="G87" s="117">
        <f>'NOMINA EMPELADOS CDO'!X13</f>
        <v>1256.7675360000001</v>
      </c>
      <c r="H87" s="92"/>
      <c r="I87" s="101"/>
      <c r="J87" s="92"/>
      <c r="K87" s="92"/>
      <c r="L87" s="96"/>
      <c r="M87" s="84"/>
    </row>
    <row r="88" spans="2:13" ht="30" hidden="1" customHeight="1">
      <c r="B88" s="83"/>
      <c r="C88" s="103" t="s">
        <v>97</v>
      </c>
      <c r="D88" s="92"/>
      <c r="E88" s="111"/>
      <c r="F88" s="100" t="s">
        <v>96</v>
      </c>
      <c r="G88" s="117">
        <f>'NOMINA EMPELADOS CDO'!W13</f>
        <v>730.67880000000002</v>
      </c>
      <c r="H88" s="92"/>
      <c r="I88" s="101"/>
      <c r="J88" s="92"/>
      <c r="K88" s="92"/>
      <c r="L88" s="96"/>
      <c r="M88" s="84"/>
    </row>
    <row r="89" spans="2:13" ht="30" hidden="1" customHeight="1">
      <c r="B89" s="83"/>
      <c r="C89" s="103" t="s">
        <v>98</v>
      </c>
      <c r="D89" s="92"/>
      <c r="E89" s="111"/>
      <c r="F89" s="100" t="s">
        <v>96</v>
      </c>
      <c r="G89" s="117">
        <f>'NOMINA EMPELADOS CDO'!V13</f>
        <v>6</v>
      </c>
      <c r="H89" s="92"/>
      <c r="I89" s="101"/>
      <c r="J89" s="92"/>
      <c r="K89" s="92"/>
      <c r="L89" s="96"/>
      <c r="M89" s="84"/>
    </row>
    <row r="90" spans="2:13" ht="30" hidden="1" customHeight="1">
      <c r="B90" s="83"/>
      <c r="C90" s="103" t="s">
        <v>99</v>
      </c>
      <c r="D90" s="92"/>
      <c r="E90" s="111"/>
      <c r="F90" s="100" t="s">
        <v>96</v>
      </c>
      <c r="G90" s="117">
        <f>'NOMINA EMPELADOS CDO'!Y13</f>
        <v>0</v>
      </c>
      <c r="H90" s="92"/>
      <c r="I90" s="101"/>
      <c r="J90" s="92"/>
      <c r="K90" s="92"/>
      <c r="L90" s="96"/>
      <c r="M90" s="84"/>
    </row>
    <row r="91" spans="2:13" ht="30" hidden="1" customHeight="1">
      <c r="B91" s="83"/>
      <c r="C91" s="103" t="s">
        <v>100</v>
      </c>
      <c r="D91" s="92"/>
      <c r="E91" s="111"/>
      <c r="F91" s="100" t="s">
        <v>96</v>
      </c>
      <c r="G91" s="118">
        <f>'NOMINA EMPELADOS CDO'!Z13</f>
        <v>0</v>
      </c>
      <c r="H91" s="92"/>
      <c r="I91" s="101"/>
      <c r="J91" s="92"/>
      <c r="K91" s="92"/>
      <c r="L91" s="96"/>
      <c r="M91" s="84"/>
    </row>
    <row r="92" spans="2:13" ht="50.1" hidden="1" customHeight="1">
      <c r="B92" s="83"/>
      <c r="C92" s="186" t="s">
        <v>101</v>
      </c>
      <c r="D92" s="187"/>
      <c r="E92" s="187"/>
      <c r="F92" s="100" t="s">
        <v>96</v>
      </c>
      <c r="G92" s="119">
        <f>SUM(G86:G91)</f>
        <v>2017.446336</v>
      </c>
      <c r="H92" s="188" t="s">
        <v>102</v>
      </c>
      <c r="I92" s="188"/>
      <c r="J92" s="188"/>
      <c r="K92" s="120">
        <f>I84-G92</f>
        <v>7724.937664</v>
      </c>
      <c r="L92" s="96"/>
      <c r="M92" s="84"/>
    </row>
    <row r="93" spans="2:13" ht="35.1" hidden="1" customHeight="1">
      <c r="B93" s="83"/>
      <c r="C93" s="103"/>
      <c r="D93" s="92"/>
      <c r="E93" s="94"/>
      <c r="F93" s="94"/>
      <c r="G93" s="94"/>
      <c r="H93" s="94"/>
      <c r="I93" s="121"/>
      <c r="J93" s="121"/>
      <c r="K93" s="92"/>
      <c r="L93" s="96"/>
      <c r="M93" s="84"/>
    </row>
    <row r="94" spans="2:13" ht="64.5" hidden="1" customHeight="1">
      <c r="B94" s="83"/>
      <c r="C94" s="189"/>
      <c r="D94" s="190"/>
      <c r="E94" s="190"/>
      <c r="F94" s="94"/>
      <c r="G94" s="132"/>
      <c r="H94" s="94"/>
      <c r="I94" s="121"/>
      <c r="J94" s="194" t="s">
        <v>103</v>
      </c>
      <c r="K94" s="92"/>
      <c r="L94" s="96"/>
      <c r="M94" s="84"/>
    </row>
    <row r="95" spans="2:13" ht="35.1" hidden="1" customHeight="1">
      <c r="B95" s="83"/>
      <c r="C95" s="103"/>
      <c r="D95" s="92"/>
      <c r="E95" s="92"/>
      <c r="F95" s="92"/>
      <c r="G95" s="92"/>
      <c r="H95" s="92"/>
      <c r="I95" s="92"/>
      <c r="J95" s="195" t="s">
        <v>103</v>
      </c>
      <c r="K95" s="122"/>
      <c r="L95" s="123"/>
      <c r="M95" s="84"/>
    </row>
    <row r="96" spans="2:13" ht="9.9499999999999993" hidden="1" customHeight="1">
      <c r="B96" s="83"/>
      <c r="C96" s="124"/>
      <c r="D96" s="125"/>
      <c r="E96" s="125"/>
      <c r="F96" s="125"/>
      <c r="G96" s="126"/>
      <c r="H96" s="125"/>
      <c r="I96" s="125"/>
      <c r="J96" s="125"/>
      <c r="K96" s="125"/>
      <c r="L96" s="127"/>
      <c r="M96" s="84"/>
    </row>
    <row r="97" spans="2:13" ht="5.0999999999999996" hidden="1" customHeight="1">
      <c r="B97" s="128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30"/>
    </row>
    <row r="98" spans="2:13" hidden="1"/>
  </sheetData>
  <mergeCells count="51">
    <mergeCell ref="C94:E94"/>
    <mergeCell ref="J29:J30"/>
    <mergeCell ref="J61:J62"/>
    <mergeCell ref="J94:J95"/>
    <mergeCell ref="F81:G81"/>
    <mergeCell ref="E84:G84"/>
    <mergeCell ref="C85:D85"/>
    <mergeCell ref="C92:E92"/>
    <mergeCell ref="H92:J92"/>
    <mergeCell ref="G73:I73"/>
    <mergeCell ref="K73:L73"/>
    <mergeCell ref="C74:D74"/>
    <mergeCell ref="E75:F75"/>
    <mergeCell ref="J75:K75"/>
    <mergeCell ref="C61:E61"/>
    <mergeCell ref="C68:L68"/>
    <mergeCell ref="C69:J69"/>
    <mergeCell ref="C70:L70"/>
    <mergeCell ref="E72:I72"/>
    <mergeCell ref="K72:L72"/>
    <mergeCell ref="F48:G48"/>
    <mergeCell ref="E51:G51"/>
    <mergeCell ref="C52:D52"/>
    <mergeCell ref="C59:E59"/>
    <mergeCell ref="H59:J59"/>
    <mergeCell ref="G40:I40"/>
    <mergeCell ref="K40:L40"/>
    <mergeCell ref="C41:D41"/>
    <mergeCell ref="E42:F42"/>
    <mergeCell ref="J42:K42"/>
    <mergeCell ref="C29:E29"/>
    <mergeCell ref="C35:L35"/>
    <mergeCell ref="C36:J36"/>
    <mergeCell ref="C37:L37"/>
    <mergeCell ref="E39:I39"/>
    <mergeCell ref="K39:L39"/>
    <mergeCell ref="F16:G16"/>
    <mergeCell ref="E19:G19"/>
    <mergeCell ref="C20:D20"/>
    <mergeCell ref="C27:E27"/>
    <mergeCell ref="H27:J27"/>
    <mergeCell ref="G8:I8"/>
    <mergeCell ref="K8:L8"/>
    <mergeCell ref="C9:D9"/>
    <mergeCell ref="E10:F10"/>
    <mergeCell ref="J10:K10"/>
    <mergeCell ref="C3:L3"/>
    <mergeCell ref="C4:J4"/>
    <mergeCell ref="C5:L5"/>
    <mergeCell ref="E7:I7"/>
    <mergeCell ref="K7:L7"/>
  </mergeCells>
  <printOptions horizontalCentered="1" verticalCentered="1"/>
  <pageMargins left="0.39370078740157499" right="0.39370078740157499" top="0.39370078740157499" bottom="0.39370078740157499" header="0" footer="0"/>
  <pageSetup paperSize="119" scale="29" orientation="portrait" horizontalDpi="120" verticalDpi="7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99"/>
  <sheetViews>
    <sheetView topLeftCell="A13" zoomScale="50" zoomScaleNormal="50" workbookViewId="0">
      <selection activeCell="H27" sqref="H27:J27"/>
    </sheetView>
  </sheetViews>
  <sheetFormatPr baseColWidth="10" defaultColWidth="11" defaultRowHeight="12.75"/>
  <cols>
    <col min="1" max="1" width="3.7109375" customWidth="1"/>
    <col min="2" max="2" width="0.85546875" customWidth="1"/>
    <col min="3" max="3" width="32.7109375" customWidth="1"/>
    <col min="4" max="4" width="20.7109375" customWidth="1"/>
    <col min="5" max="5" width="32.7109375" customWidth="1"/>
    <col min="6" max="6" width="18.7109375" customWidth="1"/>
    <col min="7" max="7" width="30.7109375" customWidth="1"/>
    <col min="8" max="8" width="18.7109375" customWidth="1"/>
    <col min="9" max="9" width="30.7109375" customWidth="1"/>
    <col min="10" max="10" width="40.7109375" customWidth="1"/>
    <col min="11" max="11" width="38.7109375" customWidth="1"/>
    <col min="12" max="12" width="48.7109375" customWidth="1"/>
    <col min="13" max="13" width="0.85546875" customWidth="1"/>
  </cols>
  <sheetData>
    <row r="1" spans="2:13" ht="35.1" customHeight="1"/>
    <row r="2" spans="2:13" ht="5.0999999999999996" customHeight="1">
      <c r="B2" s="80" t="s">
        <v>71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3" ht="69.95" customHeight="1">
      <c r="B3" s="83"/>
      <c r="C3" s="165" t="s">
        <v>72</v>
      </c>
      <c r="D3" s="166"/>
      <c r="E3" s="166"/>
      <c r="F3" s="166"/>
      <c r="G3" s="166"/>
      <c r="H3" s="166"/>
      <c r="I3" s="166"/>
      <c r="J3" s="166"/>
      <c r="K3" s="166"/>
      <c r="L3" s="167"/>
      <c r="M3" s="84"/>
    </row>
    <row r="4" spans="2:13" ht="45" customHeight="1">
      <c r="B4" s="83"/>
      <c r="C4" s="168" t="s">
        <v>73</v>
      </c>
      <c r="D4" s="169"/>
      <c r="E4" s="169"/>
      <c r="F4" s="169"/>
      <c r="G4" s="169"/>
      <c r="H4" s="169"/>
      <c r="I4" s="169"/>
      <c r="J4" s="170"/>
      <c r="K4" s="85" t="s">
        <v>74</v>
      </c>
      <c r="L4" s="85" t="str">
        <f>+'NOMINA DIRECTIVOS'!B11</f>
        <v>D-1</v>
      </c>
      <c r="M4" s="84"/>
    </row>
    <row r="5" spans="2:13" ht="45" customHeight="1">
      <c r="B5" s="83"/>
      <c r="C5" s="171" t="str">
        <f>+'NOMINA DIRECTIVOS'!C6:F6</f>
        <v>DESDE EL 01/04 AL  30/04/2026</v>
      </c>
      <c r="D5" s="172"/>
      <c r="E5" s="172"/>
      <c r="F5" s="172"/>
      <c r="G5" s="172"/>
      <c r="H5" s="172"/>
      <c r="I5" s="172"/>
      <c r="J5" s="172"/>
      <c r="K5" s="172"/>
      <c r="L5" s="173"/>
      <c r="M5" s="84"/>
    </row>
    <row r="6" spans="2:13" ht="5.0999999999999996" customHeight="1">
      <c r="B6" s="83"/>
      <c r="C6" s="86"/>
      <c r="D6" s="87"/>
      <c r="E6" s="87"/>
      <c r="F6" s="87"/>
      <c r="G6" s="87"/>
      <c r="H6" s="87"/>
      <c r="I6" s="87"/>
      <c r="J6" s="87"/>
      <c r="K6" s="87"/>
      <c r="L6" s="87"/>
      <c r="M6" s="84"/>
    </row>
    <row r="7" spans="2:13" ht="54.95" customHeight="1">
      <c r="B7" s="83"/>
      <c r="C7" s="88" t="s">
        <v>75</v>
      </c>
      <c r="D7" s="89"/>
      <c r="E7" s="174" t="str">
        <f>+'NOMINA DIRECTIVOS'!C11</f>
        <v>ELIAS ANTONIO NAYATI VARGAS</v>
      </c>
      <c r="F7" s="174"/>
      <c r="G7" s="174"/>
      <c r="H7" s="174"/>
      <c r="I7" s="174"/>
      <c r="J7" s="90" t="s">
        <v>76</v>
      </c>
      <c r="K7" s="175">
        <f>'NOMINA DIRECTIVOS'!D11</f>
        <v>15514275</v>
      </c>
      <c r="L7" s="176"/>
      <c r="M7" s="84"/>
    </row>
    <row r="8" spans="2:13" ht="54.95" customHeight="1">
      <c r="B8" s="83"/>
      <c r="C8" s="91" t="s">
        <v>77</v>
      </c>
      <c r="D8" s="92"/>
      <c r="E8" s="93">
        <f>+'NOMINA DIRECTIVOS'!F11</f>
        <v>45219</v>
      </c>
      <c r="F8" s="94" t="s">
        <v>78</v>
      </c>
      <c r="G8" s="177" t="str">
        <f>'NOMINA DIRECTIVOS'!G11</f>
        <v>PRESIDENTE</v>
      </c>
      <c r="H8" s="177"/>
      <c r="I8" s="177"/>
      <c r="J8" s="94" t="s">
        <v>79</v>
      </c>
      <c r="K8" s="178" t="str">
        <f>'NOMINA DIRECTIVOS'!H11</f>
        <v>PRESIDENCIA</v>
      </c>
      <c r="L8" s="179"/>
      <c r="M8" s="84"/>
    </row>
    <row r="9" spans="2:13" ht="39.950000000000003" customHeight="1">
      <c r="B9" s="83"/>
      <c r="C9" s="180" t="s">
        <v>80</v>
      </c>
      <c r="D9" s="181"/>
      <c r="E9" s="92"/>
      <c r="F9" s="92"/>
      <c r="G9" s="95"/>
      <c r="H9" s="95"/>
      <c r="I9" s="95"/>
      <c r="J9" s="92"/>
      <c r="K9" s="92"/>
      <c r="L9" s="96"/>
      <c r="M9" s="84"/>
    </row>
    <row r="10" spans="2:13" ht="60" customHeight="1">
      <c r="B10" s="83"/>
      <c r="C10" s="97" t="s">
        <v>81</v>
      </c>
      <c r="D10" s="98">
        <f>'NOMINA DIRECTIVOS'!I11</f>
        <v>30</v>
      </c>
      <c r="E10" s="182" t="s">
        <v>82</v>
      </c>
      <c r="F10" s="182"/>
      <c r="G10" s="99">
        <f>+'NOMINA DIRECTIVOS'!J11</f>
        <v>4871.1919999999991</v>
      </c>
      <c r="H10" s="100" t="s">
        <v>83</v>
      </c>
      <c r="I10" s="101">
        <f>G10*D10</f>
        <v>146135.75999999998</v>
      </c>
      <c r="J10" s="183" t="s">
        <v>84</v>
      </c>
      <c r="K10" s="183"/>
      <c r="L10" s="102">
        <f>G10*30</f>
        <v>146135.75999999998</v>
      </c>
      <c r="M10" s="84"/>
    </row>
    <row r="11" spans="2:13" ht="30" customHeight="1">
      <c r="B11" s="83"/>
      <c r="C11" s="103" t="s">
        <v>85</v>
      </c>
      <c r="D11" s="104"/>
      <c r="E11" s="105" t="s">
        <v>86</v>
      </c>
      <c r="F11" s="105">
        <f>'NOMINA DIRECTIVOS'!O20</f>
        <v>0</v>
      </c>
      <c r="G11" s="101"/>
      <c r="H11" s="100" t="s">
        <v>83</v>
      </c>
      <c r="I11" s="101">
        <f>'NOMINA EMPELADOS CDO'!Q20</f>
        <v>0</v>
      </c>
      <c r="J11" s="92"/>
      <c r="K11" s="92"/>
      <c r="L11" s="96"/>
      <c r="M11" s="84"/>
    </row>
    <row r="12" spans="2:13" ht="30" customHeight="1">
      <c r="B12" s="83"/>
      <c r="C12" s="103" t="s">
        <v>87</v>
      </c>
      <c r="D12" s="104"/>
      <c r="E12" s="105" t="s">
        <v>86</v>
      </c>
      <c r="F12" s="105">
        <f>'NOMINA DIRECTIVOS'!O21</f>
        <v>0</v>
      </c>
      <c r="G12" s="101"/>
      <c r="H12" s="100" t="s">
        <v>83</v>
      </c>
      <c r="I12" s="101">
        <f>'NOMINA EMPELADOS CDO'!S20</f>
        <v>0</v>
      </c>
      <c r="J12" s="92"/>
      <c r="K12" s="92"/>
      <c r="L12" s="96"/>
      <c r="M12" s="84"/>
    </row>
    <row r="13" spans="2:13" ht="30" customHeight="1">
      <c r="B13" s="83"/>
      <c r="C13" s="103" t="s">
        <v>55</v>
      </c>
      <c r="D13" s="104"/>
      <c r="E13" s="105" t="s">
        <v>86</v>
      </c>
      <c r="F13" s="105">
        <f>'NOMINA DIRECTIVOS'!O22</f>
        <v>0</v>
      </c>
      <c r="G13" s="101"/>
      <c r="H13" s="100" t="s">
        <v>83</v>
      </c>
      <c r="I13" s="101">
        <f>'NOMINA EMPELADOS CDO'!O20</f>
        <v>0</v>
      </c>
      <c r="J13" s="92"/>
      <c r="K13" s="92"/>
      <c r="L13" s="96"/>
      <c r="M13" s="84"/>
    </row>
    <row r="14" spans="2:13" ht="30" customHeight="1">
      <c r="B14" s="83"/>
      <c r="C14" s="106" t="s">
        <v>88</v>
      </c>
      <c r="D14" s="107"/>
      <c r="E14" s="105" t="s">
        <v>89</v>
      </c>
      <c r="F14" s="105"/>
      <c r="G14" s="101"/>
      <c r="H14" s="100" t="s">
        <v>83</v>
      </c>
      <c r="I14" s="101">
        <f>'NOMINA EMPELADOS CDO'!T20</f>
        <v>0</v>
      </c>
      <c r="J14" s="92"/>
      <c r="K14" s="92"/>
      <c r="L14" s="96"/>
      <c r="M14" s="84"/>
    </row>
    <row r="15" spans="2:13" ht="30" customHeight="1">
      <c r="B15" s="83"/>
      <c r="C15" s="106" t="s">
        <v>54</v>
      </c>
      <c r="D15" s="107"/>
      <c r="E15" s="105" t="s">
        <v>86</v>
      </c>
      <c r="F15" s="105">
        <f>'NOMINA DIRECTIVOS'!I20</f>
        <v>0</v>
      </c>
      <c r="G15" s="101"/>
      <c r="H15" s="100" t="s">
        <v>83</v>
      </c>
      <c r="I15" s="101">
        <f>'NOMINA EMPELADOS CDO'!J20</f>
        <v>0</v>
      </c>
      <c r="J15" s="92"/>
      <c r="K15" s="92"/>
      <c r="L15" s="96"/>
      <c r="M15" s="84"/>
    </row>
    <row r="16" spans="2:13" ht="30" customHeight="1">
      <c r="B16" s="83"/>
      <c r="C16" s="106" t="s">
        <v>90</v>
      </c>
      <c r="D16" s="107"/>
      <c r="E16" s="105" t="s">
        <v>89</v>
      </c>
      <c r="F16" s="184"/>
      <c r="G16" s="184"/>
      <c r="H16" s="100" t="s">
        <v>83</v>
      </c>
      <c r="I16" s="101">
        <f>'NOMINA EMPELADOS CDO'!P11</f>
        <v>0</v>
      </c>
      <c r="J16" s="92"/>
      <c r="K16" s="92"/>
      <c r="L16" s="96"/>
      <c r="M16" s="84"/>
    </row>
    <row r="17" spans="2:13" ht="30" customHeight="1">
      <c r="B17" s="83"/>
      <c r="C17" s="106" t="s">
        <v>91</v>
      </c>
      <c r="D17" s="92"/>
      <c r="E17" s="108"/>
      <c r="F17" s="109">
        <f>'NOMINA DIRECTIVOS'!Q11</f>
        <v>0</v>
      </c>
      <c r="G17" s="108" t="s">
        <v>92</v>
      </c>
      <c r="H17" s="100" t="s">
        <v>83</v>
      </c>
      <c r="I17" s="101">
        <f>'NOMINA EMPELADOS CDO'!S11</f>
        <v>0</v>
      </c>
      <c r="J17" s="92"/>
      <c r="K17" s="92"/>
      <c r="L17" s="96"/>
      <c r="M17" s="84"/>
    </row>
    <row r="18" spans="2:13" ht="30" customHeight="1">
      <c r="B18" s="83"/>
      <c r="C18" s="106" t="s">
        <v>17</v>
      </c>
      <c r="D18" s="110"/>
      <c r="E18" s="105"/>
      <c r="F18" s="111"/>
      <c r="G18" s="101"/>
      <c r="H18" s="100" t="s">
        <v>83</v>
      </c>
      <c r="I18" s="112">
        <f>'NOMINA DIRECTIVOS'!N11</f>
        <v>0</v>
      </c>
      <c r="J18" s="113"/>
      <c r="K18" s="92"/>
      <c r="L18" s="96"/>
      <c r="M18" s="84"/>
    </row>
    <row r="19" spans="2:13" ht="39.950000000000003" customHeight="1">
      <c r="B19" s="83"/>
      <c r="C19" s="103"/>
      <c r="D19" s="92"/>
      <c r="E19" s="185" t="s">
        <v>93</v>
      </c>
      <c r="F19" s="185"/>
      <c r="G19" s="185"/>
      <c r="H19" s="114" t="s">
        <v>83</v>
      </c>
      <c r="I19" s="115">
        <f>SUM(I10:I18)</f>
        <v>146135.75999999998</v>
      </c>
      <c r="J19" s="116"/>
      <c r="K19" s="92"/>
      <c r="L19" s="96"/>
      <c r="M19" s="84"/>
    </row>
    <row r="20" spans="2:13" ht="39.950000000000003" customHeight="1">
      <c r="B20" s="83"/>
      <c r="C20" s="180" t="s">
        <v>94</v>
      </c>
      <c r="D20" s="181"/>
      <c r="E20" s="92"/>
      <c r="F20" s="92"/>
      <c r="G20" s="92"/>
      <c r="H20" s="92"/>
      <c r="I20" s="92"/>
      <c r="J20" s="92"/>
      <c r="K20" s="92"/>
      <c r="L20" s="96"/>
      <c r="M20" s="84"/>
    </row>
    <row r="21" spans="2:13" ht="30" customHeight="1">
      <c r="B21" s="83"/>
      <c r="C21" s="103" t="s">
        <v>95</v>
      </c>
      <c r="D21" s="92"/>
      <c r="E21" s="111"/>
      <c r="F21" s="100" t="s">
        <v>96</v>
      </c>
      <c r="G21" s="117">
        <f>'NOMINA DIRECTIVOS'!T11</f>
        <v>0</v>
      </c>
      <c r="H21" s="92"/>
      <c r="I21" s="101"/>
      <c r="J21" s="92"/>
      <c r="K21" s="92"/>
      <c r="L21" s="96"/>
      <c r="M21" s="84"/>
    </row>
    <row r="22" spans="2:13" ht="30" customHeight="1">
      <c r="B22" s="83"/>
      <c r="C22" s="103" t="s">
        <v>29</v>
      </c>
      <c r="D22" s="92"/>
      <c r="E22" s="111"/>
      <c r="F22" s="100" t="s">
        <v>96</v>
      </c>
      <c r="G22" s="117">
        <f>+'NOMINA DIRECTIVOS'!W11</f>
        <v>3843.3704879999996</v>
      </c>
      <c r="H22" s="92"/>
      <c r="I22" s="101"/>
      <c r="J22" s="92"/>
      <c r="K22" s="92"/>
      <c r="L22" s="96"/>
      <c r="M22" s="84"/>
    </row>
    <row r="23" spans="2:13" ht="30" customHeight="1">
      <c r="B23" s="83"/>
      <c r="C23" s="103" t="s">
        <v>97</v>
      </c>
      <c r="D23" s="92"/>
      <c r="E23" s="111"/>
      <c r="F23" s="100" t="s">
        <v>96</v>
      </c>
      <c r="G23" s="117">
        <f>'NOMINA DIRECTIVOS'!V11</f>
        <v>0</v>
      </c>
      <c r="H23" s="92"/>
      <c r="I23" s="101"/>
      <c r="J23" s="92"/>
      <c r="K23" s="92"/>
      <c r="L23" s="96"/>
      <c r="M23" s="84"/>
    </row>
    <row r="24" spans="2:13" ht="30" customHeight="1">
      <c r="B24" s="83"/>
      <c r="C24" s="103" t="s">
        <v>98</v>
      </c>
      <c r="D24" s="92"/>
      <c r="E24" s="111"/>
      <c r="F24" s="100" t="s">
        <v>96</v>
      </c>
      <c r="G24" s="117">
        <f>'NOMINA DIRECTIVOS'!U11</f>
        <v>0</v>
      </c>
      <c r="H24" s="92"/>
      <c r="I24" s="101"/>
      <c r="J24" s="92"/>
      <c r="K24" s="92"/>
      <c r="L24" s="96"/>
      <c r="M24" s="84"/>
    </row>
    <row r="25" spans="2:13" ht="30" customHeight="1">
      <c r="B25" s="83"/>
      <c r="C25" s="103" t="s">
        <v>99</v>
      </c>
      <c r="D25" s="92"/>
      <c r="E25" s="111"/>
      <c r="F25" s="100" t="s">
        <v>96</v>
      </c>
      <c r="G25" s="117">
        <v>0</v>
      </c>
      <c r="H25" s="92"/>
      <c r="I25" s="101"/>
      <c r="J25" s="92"/>
      <c r="K25" s="92"/>
      <c r="L25" s="96"/>
      <c r="M25" s="84"/>
    </row>
    <row r="26" spans="2:13" ht="30" customHeight="1">
      <c r="B26" s="83"/>
      <c r="C26" s="103" t="s">
        <v>100</v>
      </c>
      <c r="D26" s="92"/>
      <c r="E26" s="111"/>
      <c r="F26" s="100" t="s">
        <v>96</v>
      </c>
      <c r="G26" s="118">
        <v>0</v>
      </c>
      <c r="H26" s="92"/>
      <c r="I26" s="101"/>
      <c r="J26" s="92"/>
      <c r="K26" s="92"/>
      <c r="L26" s="96"/>
      <c r="M26" s="84"/>
    </row>
    <row r="27" spans="2:13" ht="50.1" customHeight="1">
      <c r="B27" s="83"/>
      <c r="C27" s="186" t="s">
        <v>101</v>
      </c>
      <c r="D27" s="187"/>
      <c r="E27" s="187"/>
      <c r="F27" s="100" t="s">
        <v>96</v>
      </c>
      <c r="G27" s="119">
        <f>SUM(G21:G26)</f>
        <v>3843.3704879999996</v>
      </c>
      <c r="H27" s="188" t="s">
        <v>102</v>
      </c>
      <c r="I27" s="188"/>
      <c r="J27" s="188"/>
      <c r="K27" s="120">
        <f>I19-G27</f>
        <v>142292.38951199999</v>
      </c>
      <c r="L27" s="96"/>
      <c r="M27" s="84"/>
    </row>
    <row r="28" spans="2:13" ht="35.1" customHeight="1">
      <c r="B28" s="83"/>
      <c r="C28" s="103"/>
      <c r="D28" s="92"/>
      <c r="E28" s="94"/>
      <c r="F28" s="94"/>
      <c r="G28" s="94"/>
      <c r="H28" s="94"/>
      <c r="I28" s="121"/>
      <c r="J28" s="121"/>
      <c r="K28" s="92"/>
      <c r="L28" s="96"/>
      <c r="M28" s="84"/>
    </row>
    <row r="29" spans="2:13" ht="66" customHeight="1">
      <c r="B29" s="83"/>
      <c r="C29" s="189"/>
      <c r="D29" s="190"/>
      <c r="E29" s="190"/>
      <c r="F29" s="94"/>
      <c r="G29" s="94"/>
      <c r="H29" s="94"/>
      <c r="I29" s="121"/>
      <c r="J29" s="194" t="s">
        <v>103</v>
      </c>
      <c r="K29" s="92"/>
      <c r="L29" s="96"/>
      <c r="M29" s="84"/>
    </row>
    <row r="30" spans="2:13" ht="35.1" customHeight="1">
      <c r="B30" s="83"/>
      <c r="C30" s="103"/>
      <c r="D30" s="92"/>
      <c r="E30" s="92"/>
      <c r="F30" s="92"/>
      <c r="G30" s="92"/>
      <c r="H30" s="92"/>
      <c r="I30" s="92"/>
      <c r="J30" s="195" t="s">
        <v>103</v>
      </c>
      <c r="K30" s="122"/>
      <c r="L30" s="123"/>
      <c r="M30" s="84"/>
    </row>
    <row r="31" spans="2:13" ht="9.9499999999999993" customHeight="1">
      <c r="B31" s="83"/>
      <c r="C31" s="124"/>
      <c r="D31" s="125"/>
      <c r="E31" s="125"/>
      <c r="F31" s="125"/>
      <c r="G31" s="126"/>
      <c r="H31" s="125"/>
      <c r="I31" s="125"/>
      <c r="J31" s="125"/>
      <c r="K31" s="125"/>
      <c r="L31" s="127"/>
      <c r="M31" s="84"/>
    </row>
    <row r="32" spans="2:13" ht="5.0999999999999996" customHeight="1">
      <c r="B32" s="128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30"/>
    </row>
    <row r="33" spans="2:13" ht="120" customHeight="1"/>
    <row r="34" spans="2:13" ht="5.0999999999999996" customHeight="1"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2"/>
    </row>
    <row r="35" spans="2:13" ht="69.75" customHeight="1">
      <c r="B35" s="83"/>
      <c r="C35" s="165" t="str">
        <f>C3</f>
        <v>COMERCIALIZADORA CASA DULCE ORIENTE, C.A.                                                             RIF: J-50223534-5</v>
      </c>
      <c r="D35" s="166"/>
      <c r="E35" s="166"/>
      <c r="F35" s="166"/>
      <c r="G35" s="166"/>
      <c r="H35" s="166"/>
      <c r="I35" s="166"/>
      <c r="J35" s="166"/>
      <c r="K35" s="166"/>
      <c r="L35" s="167"/>
      <c r="M35" s="84"/>
    </row>
    <row r="36" spans="2:13" ht="45" customHeight="1">
      <c r="B36" s="83"/>
      <c r="C36" s="168" t="s">
        <v>73</v>
      </c>
      <c r="D36" s="169"/>
      <c r="E36" s="169"/>
      <c r="F36" s="169"/>
      <c r="G36" s="169"/>
      <c r="H36" s="169"/>
      <c r="I36" s="169"/>
      <c r="J36" s="170"/>
      <c r="K36" s="85" t="s">
        <v>74</v>
      </c>
      <c r="L36" s="85" t="str">
        <f>'NOMINA DIRECTIVOS'!B12</f>
        <v>D-2</v>
      </c>
      <c r="M36" s="84"/>
    </row>
    <row r="37" spans="2:13" ht="45" customHeight="1">
      <c r="B37" s="83"/>
      <c r="C37" s="171" t="str">
        <f>'NOMINA EMPELADOS CDO'!C6</f>
        <v>DESDE EL 01/04 AL  30/04/2026</v>
      </c>
      <c r="D37" s="172"/>
      <c r="E37" s="172"/>
      <c r="F37" s="172"/>
      <c r="G37" s="172"/>
      <c r="H37" s="172"/>
      <c r="I37" s="172"/>
      <c r="J37" s="172"/>
      <c r="K37" s="172"/>
      <c r="L37" s="173"/>
      <c r="M37" s="84"/>
    </row>
    <row r="38" spans="2:13" ht="5.0999999999999996" customHeight="1">
      <c r="B38" s="83"/>
      <c r="C38" s="86"/>
      <c r="D38" s="87"/>
      <c r="E38" s="87"/>
      <c r="F38" s="87"/>
      <c r="G38" s="87"/>
      <c r="H38" s="87"/>
      <c r="I38" s="87"/>
      <c r="J38" s="87"/>
      <c r="K38" s="87"/>
      <c r="L38" s="87"/>
      <c r="M38" s="84"/>
    </row>
    <row r="39" spans="2:13" ht="54.75" customHeight="1">
      <c r="B39" s="83"/>
      <c r="C39" s="88" t="s">
        <v>75</v>
      </c>
      <c r="D39" s="89"/>
      <c r="E39" s="174" t="str">
        <f>'NOMINA DIRECTIVOS'!C12</f>
        <v>KARELIS ADREINA ESPLUGUEZ SARMIENTO</v>
      </c>
      <c r="F39" s="174"/>
      <c r="G39" s="174"/>
      <c r="H39" s="174"/>
      <c r="I39" s="174"/>
      <c r="J39" s="90" t="s">
        <v>76</v>
      </c>
      <c r="K39" s="175">
        <f>'NOMINA DIRECTIVOS'!D12</f>
        <v>16489561</v>
      </c>
      <c r="L39" s="176"/>
      <c r="M39" s="84"/>
    </row>
    <row r="40" spans="2:13" ht="54.95" customHeight="1">
      <c r="B40" s="83"/>
      <c r="C40" s="91" t="s">
        <v>77</v>
      </c>
      <c r="D40" s="92"/>
      <c r="E40" s="93">
        <f>'NOMINA DIRECTIVOS'!F12</f>
        <v>45219</v>
      </c>
      <c r="F40" s="94" t="s">
        <v>78</v>
      </c>
      <c r="G40" s="177" t="str">
        <f>'NOMINA DIRECTIVOS'!G12</f>
        <v>VICEPRESIDENTE</v>
      </c>
      <c r="H40" s="177"/>
      <c r="I40" s="177"/>
      <c r="J40" s="94" t="s">
        <v>79</v>
      </c>
      <c r="K40" s="178" t="str">
        <f>'NOMINA DIRECTIVOS'!H12</f>
        <v>PRESIDENCIA</v>
      </c>
      <c r="L40" s="179"/>
      <c r="M40" s="84"/>
    </row>
    <row r="41" spans="2:13" ht="39.950000000000003" customHeight="1">
      <c r="B41" s="83"/>
      <c r="C41" s="180" t="s">
        <v>80</v>
      </c>
      <c r="D41" s="181"/>
      <c r="E41" s="92"/>
      <c r="F41" s="92"/>
      <c r="G41" s="95"/>
      <c r="H41" s="95"/>
      <c r="I41" s="95"/>
      <c r="J41" s="92"/>
      <c r="K41" s="92"/>
      <c r="L41" s="96"/>
      <c r="M41" s="84"/>
    </row>
    <row r="42" spans="2:13" ht="60" customHeight="1">
      <c r="B42" s="83"/>
      <c r="C42" s="97" t="s">
        <v>81</v>
      </c>
      <c r="D42" s="131">
        <f>'NOMINA EMPELADOS CDO'!I12</f>
        <v>30</v>
      </c>
      <c r="E42" s="182" t="s">
        <v>82</v>
      </c>
      <c r="F42" s="182"/>
      <c r="G42" s="99">
        <f>'NOMINA DIRECTIVOS'!J12</f>
        <v>4871.1919999999991</v>
      </c>
      <c r="H42" s="100" t="s">
        <v>96</v>
      </c>
      <c r="I42" s="101">
        <f>G42*D42</f>
        <v>146135.75999999998</v>
      </c>
      <c r="J42" s="183" t="s">
        <v>84</v>
      </c>
      <c r="K42" s="183"/>
      <c r="L42" s="102">
        <f>G42*30</f>
        <v>146135.75999999998</v>
      </c>
      <c r="M42" s="84"/>
    </row>
    <row r="43" spans="2:13" ht="30" customHeight="1">
      <c r="B43" s="83"/>
      <c r="C43" s="103" t="s">
        <v>85</v>
      </c>
      <c r="D43" s="104"/>
      <c r="E43" s="105" t="s">
        <v>86</v>
      </c>
      <c r="F43" s="105">
        <f>'NOMINA EMPELADOS CDO'!P21</f>
        <v>0</v>
      </c>
      <c r="G43" s="101"/>
      <c r="H43" s="100" t="s">
        <v>96</v>
      </c>
      <c r="I43" s="101">
        <f>'NOMINA EMPELADOS CDO'!Q21</f>
        <v>0</v>
      </c>
      <c r="J43" s="92"/>
      <c r="K43" s="92"/>
      <c r="L43" s="96"/>
      <c r="M43" s="84"/>
    </row>
    <row r="44" spans="2:13" ht="30" customHeight="1">
      <c r="B44" s="83"/>
      <c r="C44" s="103" t="s">
        <v>87</v>
      </c>
      <c r="D44" s="104"/>
      <c r="E44" s="105" t="s">
        <v>86</v>
      </c>
      <c r="F44" s="105">
        <f>'NOMINA EMPELADOS CDO'!R21</f>
        <v>0</v>
      </c>
      <c r="G44" s="101"/>
      <c r="H44" s="100" t="s">
        <v>96</v>
      </c>
      <c r="I44" s="101">
        <f>'NOMINA EMPELADOS CDO'!S21</f>
        <v>0</v>
      </c>
      <c r="J44" s="92"/>
      <c r="K44" s="92"/>
      <c r="L44" s="96"/>
      <c r="M44" s="84"/>
    </row>
    <row r="45" spans="2:13" ht="30" customHeight="1">
      <c r="B45" s="83"/>
      <c r="C45" s="103" t="s">
        <v>55</v>
      </c>
      <c r="D45" s="104"/>
      <c r="E45" s="105" t="s">
        <v>86</v>
      </c>
      <c r="F45" s="105">
        <f>'NOMINA EMPELADOS CDO'!M21</f>
        <v>0</v>
      </c>
      <c r="G45" s="101"/>
      <c r="H45" s="100" t="s">
        <v>96</v>
      </c>
      <c r="I45" s="101">
        <f>'NOMINA EMPELADOS CDO'!O21</f>
        <v>0</v>
      </c>
      <c r="J45" s="92"/>
      <c r="K45" s="92"/>
      <c r="L45" s="96"/>
      <c r="M45" s="84"/>
    </row>
    <row r="46" spans="2:13" ht="30" customHeight="1">
      <c r="B46" s="83"/>
      <c r="C46" s="106" t="s">
        <v>88</v>
      </c>
      <c r="D46" s="107"/>
      <c r="E46" s="105" t="s">
        <v>89</v>
      </c>
      <c r="F46" s="105"/>
      <c r="G46" s="101"/>
      <c r="H46" s="100" t="s">
        <v>96</v>
      </c>
      <c r="I46" s="101">
        <f>'NOMINA EMPELADOS CDO'!T21</f>
        <v>0</v>
      </c>
      <c r="J46" s="92"/>
      <c r="K46" s="92"/>
      <c r="L46" s="96"/>
      <c r="M46" s="84"/>
    </row>
    <row r="47" spans="2:13" ht="30" customHeight="1">
      <c r="B47" s="83"/>
      <c r="C47" s="106" t="s">
        <v>54</v>
      </c>
      <c r="D47" s="107"/>
      <c r="E47" s="105" t="s">
        <v>86</v>
      </c>
      <c r="F47" s="105">
        <f>'NOMINA EMPELADOS CDO'!I21</f>
        <v>0</v>
      </c>
      <c r="G47" s="101"/>
      <c r="H47" s="100" t="s">
        <v>96</v>
      </c>
      <c r="I47" s="101">
        <f>'NOMINA EMPELADOS CDO'!J21</f>
        <v>0</v>
      </c>
      <c r="J47" s="92"/>
      <c r="K47" s="92"/>
      <c r="L47" s="96"/>
      <c r="M47" s="84"/>
    </row>
    <row r="48" spans="2:13" ht="30" customHeight="1">
      <c r="B48" s="83"/>
      <c r="C48" s="106" t="s">
        <v>90</v>
      </c>
      <c r="D48" s="107"/>
      <c r="E48" s="105" t="s">
        <v>89</v>
      </c>
      <c r="F48" s="184"/>
      <c r="G48" s="184"/>
      <c r="H48" s="100" t="s">
        <v>96</v>
      </c>
      <c r="I48" s="101">
        <f>'NOMINA EMPELADOS CDO'!P12</f>
        <v>0</v>
      </c>
      <c r="J48" s="92"/>
      <c r="K48" s="92"/>
      <c r="L48" s="96"/>
      <c r="M48" s="84"/>
    </row>
    <row r="49" spans="2:13" ht="30" customHeight="1">
      <c r="B49" s="83"/>
      <c r="C49" s="106" t="s">
        <v>91</v>
      </c>
      <c r="D49" s="92"/>
      <c r="E49" s="108"/>
      <c r="F49" s="109">
        <f>'NOMINA EMPELADOS CDO'!R12</f>
        <v>0</v>
      </c>
      <c r="G49" s="108" t="s">
        <v>92</v>
      </c>
      <c r="H49" s="100" t="s">
        <v>96</v>
      </c>
      <c r="I49" s="101">
        <f>'NOMINA EMPELADOS CDO'!S12</f>
        <v>0</v>
      </c>
      <c r="J49" s="92"/>
      <c r="K49" s="92"/>
      <c r="L49" s="96"/>
      <c r="M49" s="84"/>
    </row>
    <row r="50" spans="2:13" ht="30" customHeight="1">
      <c r="B50" s="83"/>
      <c r="C50" s="106" t="s">
        <v>17</v>
      </c>
      <c r="D50" s="110"/>
      <c r="E50" s="105"/>
      <c r="F50" s="111"/>
      <c r="G50" s="101"/>
      <c r="H50" s="100" t="s">
        <v>96</v>
      </c>
      <c r="I50" s="112">
        <f>0</f>
        <v>0</v>
      </c>
      <c r="J50" s="113"/>
      <c r="K50" s="92"/>
      <c r="L50" s="96"/>
      <c r="M50" s="84"/>
    </row>
    <row r="51" spans="2:13" ht="39.950000000000003" customHeight="1">
      <c r="B51" s="83"/>
      <c r="C51" s="103"/>
      <c r="D51" s="92"/>
      <c r="E51" s="185" t="s">
        <v>93</v>
      </c>
      <c r="F51" s="185"/>
      <c r="G51" s="185"/>
      <c r="H51" s="100" t="s">
        <v>96</v>
      </c>
      <c r="I51" s="115">
        <f>SUM(I42:I50)</f>
        <v>146135.75999999998</v>
      </c>
      <c r="J51" s="116"/>
      <c r="K51" s="92"/>
      <c r="L51" s="96"/>
      <c r="M51" s="84"/>
    </row>
    <row r="52" spans="2:13" ht="39.75" customHeight="1">
      <c r="B52" s="83"/>
      <c r="C52" s="180" t="s">
        <v>94</v>
      </c>
      <c r="D52" s="181"/>
      <c r="E52" s="92"/>
      <c r="F52" s="92"/>
      <c r="G52" s="92"/>
      <c r="H52" s="92"/>
      <c r="I52" s="92"/>
      <c r="J52" s="92"/>
      <c r="K52" s="92"/>
      <c r="L52" s="96"/>
      <c r="M52" s="84"/>
    </row>
    <row r="53" spans="2:13" ht="30" customHeight="1">
      <c r="B53" s="83"/>
      <c r="C53" s="103" t="s">
        <v>95</v>
      </c>
      <c r="D53" s="92"/>
      <c r="E53" s="111"/>
      <c r="F53" s="100" t="s">
        <v>96</v>
      </c>
      <c r="G53" s="117">
        <f>'NOMINA DIRECTIVOS'!T12</f>
        <v>0</v>
      </c>
      <c r="H53" s="92"/>
      <c r="I53" s="101"/>
      <c r="J53" s="92"/>
      <c r="K53" s="92"/>
      <c r="L53" s="96"/>
      <c r="M53" s="84"/>
    </row>
    <row r="54" spans="2:13" ht="30" customHeight="1">
      <c r="B54" s="83"/>
      <c r="C54" s="103" t="s">
        <v>29</v>
      </c>
      <c r="D54" s="92"/>
      <c r="E54" s="111"/>
      <c r="F54" s="100" t="s">
        <v>96</v>
      </c>
      <c r="G54" s="117">
        <f>'NOMINA DIRECTIVOS'!W12</f>
        <v>3419.576783999999</v>
      </c>
      <c r="H54" s="92"/>
      <c r="I54" s="101"/>
      <c r="J54" s="92"/>
      <c r="K54" s="92"/>
      <c r="L54" s="96"/>
      <c r="M54" s="84"/>
    </row>
    <row r="55" spans="2:13" ht="30" customHeight="1">
      <c r="B55" s="83"/>
      <c r="C55" s="103" t="s">
        <v>97</v>
      </c>
      <c r="D55" s="92"/>
      <c r="E55" s="111"/>
      <c r="F55" s="100" t="s">
        <v>96</v>
      </c>
      <c r="G55" s="117">
        <f>'NOMINA DIRECTIVOS'!V12</f>
        <v>0</v>
      </c>
      <c r="H55" s="92"/>
      <c r="I55" s="101"/>
      <c r="J55" s="92"/>
      <c r="K55" s="92"/>
      <c r="L55" s="96"/>
      <c r="M55" s="84"/>
    </row>
    <row r="56" spans="2:13" ht="30" customHeight="1">
      <c r="B56" s="83"/>
      <c r="C56" s="103" t="s">
        <v>98</v>
      </c>
      <c r="D56" s="92"/>
      <c r="E56" s="111"/>
      <c r="F56" s="100" t="s">
        <v>96</v>
      </c>
      <c r="G56" s="117">
        <f>'NOMINA DIRECTIVOS'!U12</f>
        <v>0</v>
      </c>
      <c r="H56" s="92"/>
      <c r="I56" s="101"/>
      <c r="J56" s="92"/>
      <c r="K56" s="92"/>
      <c r="L56" s="96"/>
      <c r="M56" s="84"/>
    </row>
    <row r="57" spans="2:13" ht="30" customHeight="1">
      <c r="B57" s="83"/>
      <c r="C57" s="103" t="s">
        <v>99</v>
      </c>
      <c r="D57" s="92"/>
      <c r="E57" s="111"/>
      <c r="F57" s="100" t="s">
        <v>96</v>
      </c>
      <c r="G57" s="117">
        <f>'NOMINA EMPELADOS CDO'!Y14</f>
        <v>0</v>
      </c>
      <c r="H57" s="92"/>
      <c r="I57" s="101"/>
      <c r="J57" s="92"/>
      <c r="K57" s="92"/>
      <c r="L57" s="96"/>
      <c r="M57" s="84"/>
    </row>
    <row r="58" spans="2:13" ht="30" customHeight="1">
      <c r="B58" s="83"/>
      <c r="C58" s="103" t="s">
        <v>100</v>
      </c>
      <c r="D58" s="92"/>
      <c r="E58" s="111"/>
      <c r="F58" s="100" t="s">
        <v>96</v>
      </c>
      <c r="G58" s="118">
        <f>'NOMINA EMPELADOS CDO'!Z14</f>
        <v>0</v>
      </c>
      <c r="H58" s="92"/>
      <c r="I58" s="101"/>
      <c r="J58" s="92"/>
      <c r="K58" s="92"/>
      <c r="L58" s="96"/>
      <c r="M58" s="84"/>
    </row>
    <row r="59" spans="2:13" ht="50.1" customHeight="1">
      <c r="B59" s="83"/>
      <c r="C59" s="186" t="s">
        <v>101</v>
      </c>
      <c r="D59" s="187"/>
      <c r="E59" s="187"/>
      <c r="F59" s="100" t="s">
        <v>96</v>
      </c>
      <c r="G59" s="119">
        <f>SUM(G53:G58)</f>
        <v>3419.576783999999</v>
      </c>
      <c r="H59" s="188" t="s">
        <v>105</v>
      </c>
      <c r="I59" s="188"/>
      <c r="J59" s="188"/>
      <c r="K59" s="120">
        <f>I51-G59</f>
        <v>142716.18321599998</v>
      </c>
      <c r="L59" s="96"/>
      <c r="M59" s="84"/>
    </row>
    <row r="60" spans="2:13" ht="35.1" customHeight="1">
      <c r="B60" s="83"/>
      <c r="C60" s="103"/>
      <c r="D60" s="92"/>
      <c r="E60" s="94"/>
      <c r="F60" s="94"/>
      <c r="G60" s="94"/>
      <c r="H60" s="94"/>
      <c r="I60" s="121"/>
      <c r="J60" s="121"/>
      <c r="K60" s="92"/>
      <c r="L60" s="96"/>
      <c r="M60" s="84"/>
    </row>
    <row r="61" spans="2:13" ht="60" customHeight="1">
      <c r="B61" s="83"/>
      <c r="C61" s="189"/>
      <c r="D61" s="190"/>
      <c r="E61" s="190"/>
      <c r="F61" s="94"/>
      <c r="G61" s="132"/>
      <c r="H61" s="94"/>
      <c r="I61" s="121"/>
      <c r="J61" s="194" t="s">
        <v>103</v>
      </c>
      <c r="K61" s="101"/>
      <c r="L61" s="96"/>
      <c r="M61" s="84"/>
    </row>
    <row r="62" spans="2:13" ht="35.1" customHeight="1">
      <c r="B62" s="83"/>
      <c r="C62" s="103"/>
      <c r="D62" s="92"/>
      <c r="E62" s="92"/>
      <c r="F62" s="92"/>
      <c r="G62" s="92"/>
      <c r="H62" s="92"/>
      <c r="I62" s="92"/>
      <c r="J62" s="195" t="s">
        <v>103</v>
      </c>
      <c r="K62" s="122"/>
      <c r="L62" s="123"/>
      <c r="M62" s="84"/>
    </row>
    <row r="63" spans="2:13" ht="9.9499999999999993" customHeight="1">
      <c r="B63" s="83"/>
      <c r="C63" s="124"/>
      <c r="D63" s="125"/>
      <c r="E63" s="125"/>
      <c r="F63" s="125"/>
      <c r="G63" s="126"/>
      <c r="H63" s="125"/>
      <c r="I63" s="125"/>
      <c r="J63" s="125"/>
      <c r="K63" s="125"/>
      <c r="L63" s="127"/>
      <c r="M63" s="84"/>
    </row>
    <row r="64" spans="2:13" ht="5.0999999999999996" customHeight="1">
      <c r="B64" s="128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30"/>
    </row>
    <row r="65" spans="2:13" ht="6" customHeight="1">
      <c r="B65" s="128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30"/>
    </row>
    <row r="66" spans="2:13" ht="120" customHeight="1"/>
    <row r="67" spans="2:13" ht="5.0999999999999996" hidden="1" customHeight="1">
      <c r="B67" s="80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2"/>
    </row>
    <row r="68" spans="2:13" ht="69.95" hidden="1" customHeight="1">
      <c r="B68" s="83"/>
      <c r="C68" s="191" t="str">
        <f>+C35</f>
        <v>COMERCIALIZADORA CASA DULCE ORIENTE, C.A.                                                             RIF: J-50223534-5</v>
      </c>
      <c r="D68" s="192"/>
      <c r="E68" s="192"/>
      <c r="F68" s="192"/>
      <c r="G68" s="192"/>
      <c r="H68" s="192"/>
      <c r="I68" s="192"/>
      <c r="J68" s="192"/>
      <c r="K68" s="192"/>
      <c r="L68" s="193"/>
      <c r="M68" s="84"/>
    </row>
    <row r="69" spans="2:13" ht="45" hidden="1" customHeight="1">
      <c r="B69" s="83"/>
      <c r="C69" s="168" t="s">
        <v>73</v>
      </c>
      <c r="D69" s="169"/>
      <c r="E69" s="169"/>
      <c r="F69" s="169"/>
      <c r="G69" s="169"/>
      <c r="H69" s="169"/>
      <c r="I69" s="169"/>
      <c r="J69" s="170"/>
      <c r="K69" s="85" t="s">
        <v>74</v>
      </c>
      <c r="L69" s="85">
        <f>'NOMINA EMPELADOS CDO'!B13</f>
        <v>3</v>
      </c>
      <c r="M69" s="84"/>
    </row>
    <row r="70" spans="2:13" ht="45" hidden="1" customHeight="1">
      <c r="B70" s="83"/>
      <c r="C70" s="171" t="str">
        <f>'NOMINA EMPELADOS CDO'!C6</f>
        <v>DESDE EL 01/04 AL  30/04/2026</v>
      </c>
      <c r="D70" s="172"/>
      <c r="E70" s="172"/>
      <c r="F70" s="172"/>
      <c r="G70" s="172"/>
      <c r="H70" s="172"/>
      <c r="I70" s="172"/>
      <c r="J70" s="172"/>
      <c r="K70" s="172"/>
      <c r="L70" s="173"/>
      <c r="M70" s="84"/>
    </row>
    <row r="71" spans="2:13" ht="5.0999999999999996" hidden="1" customHeight="1">
      <c r="B71" s="83"/>
      <c r="C71" s="86"/>
      <c r="D71" s="87"/>
      <c r="E71" s="87"/>
      <c r="F71" s="87"/>
      <c r="G71" s="87"/>
      <c r="H71" s="87"/>
      <c r="I71" s="87"/>
      <c r="J71" s="87"/>
      <c r="K71" s="87"/>
      <c r="L71" s="87"/>
      <c r="M71" s="84"/>
    </row>
    <row r="72" spans="2:13" ht="54.95" hidden="1" customHeight="1">
      <c r="B72" s="83"/>
      <c r="C72" s="88" t="s">
        <v>75</v>
      </c>
      <c r="D72" s="89"/>
      <c r="E72" s="174" t="str">
        <f>'NOMINA EMPELADOS CDO'!C13</f>
        <v>JESÚS RAFAEL ARAY CAGUANA</v>
      </c>
      <c r="F72" s="174"/>
      <c r="G72" s="174"/>
      <c r="H72" s="174"/>
      <c r="I72" s="174"/>
      <c r="J72" s="90" t="s">
        <v>76</v>
      </c>
      <c r="K72" s="175">
        <f>'NOMINA EMPELADOS CDO'!D13</f>
        <v>8234036</v>
      </c>
      <c r="L72" s="176"/>
      <c r="M72" s="84"/>
    </row>
    <row r="73" spans="2:13" ht="54.95" hidden="1" customHeight="1">
      <c r="B73" s="83"/>
      <c r="C73" s="91" t="s">
        <v>77</v>
      </c>
      <c r="D73" s="92"/>
      <c r="E73" s="93">
        <f>'NOMINA EMPELADOS CDO'!F13</f>
        <v>45218</v>
      </c>
      <c r="F73" s="94" t="s">
        <v>78</v>
      </c>
      <c r="G73" s="177" t="str">
        <f>'NOMINA EMPELADOS CDO'!G13</f>
        <v>LOGISTICA</v>
      </c>
      <c r="H73" s="177"/>
      <c r="I73" s="177"/>
      <c r="J73" s="94" t="s">
        <v>79</v>
      </c>
      <c r="K73" s="178" t="str">
        <f>+'NOMINA EMPELADOS CDO'!H13</f>
        <v>OPERACIONES</v>
      </c>
      <c r="L73" s="179"/>
      <c r="M73" s="84"/>
    </row>
    <row r="74" spans="2:13" ht="39.950000000000003" hidden="1" customHeight="1">
      <c r="B74" s="83"/>
      <c r="C74" s="180" t="s">
        <v>80</v>
      </c>
      <c r="D74" s="181"/>
      <c r="E74" s="92"/>
      <c r="F74" s="92"/>
      <c r="G74" s="95"/>
      <c r="H74" s="95"/>
      <c r="I74" s="95"/>
      <c r="J74" s="92"/>
      <c r="K74" s="92"/>
      <c r="L74" s="96"/>
      <c r="M74" s="84"/>
    </row>
    <row r="75" spans="2:13" ht="60" hidden="1" customHeight="1">
      <c r="B75" s="83"/>
      <c r="C75" s="97" t="s">
        <v>81</v>
      </c>
      <c r="D75" s="98">
        <f>'NOMINA EMPELADOS CDO'!I13</f>
        <v>30</v>
      </c>
      <c r="E75" s="182" t="s">
        <v>82</v>
      </c>
      <c r="F75" s="182"/>
      <c r="G75" s="99">
        <f>'NOMINA EMPELADOS CDO'!J13</f>
        <v>43.333333333333336</v>
      </c>
      <c r="H75" s="100" t="s">
        <v>83</v>
      </c>
      <c r="I75" s="101">
        <f>G75*D75</f>
        <v>1300</v>
      </c>
      <c r="J75" s="183" t="s">
        <v>84</v>
      </c>
      <c r="K75" s="183"/>
      <c r="L75" s="102">
        <f>G75*30</f>
        <v>1300</v>
      </c>
      <c r="M75" s="84"/>
    </row>
    <row r="76" spans="2:13" ht="30" hidden="1" customHeight="1">
      <c r="B76" s="83"/>
      <c r="C76" s="103" t="s">
        <v>85</v>
      </c>
      <c r="D76" s="104"/>
      <c r="E76" s="105" t="s">
        <v>86</v>
      </c>
      <c r="F76" s="105">
        <f>'NOMINA EMPELADOS CDO'!P56</f>
        <v>0</v>
      </c>
      <c r="G76" s="101"/>
      <c r="H76" s="100" t="s">
        <v>83</v>
      </c>
      <c r="I76" s="101">
        <f>'NOMINA EMPELADOS CDO'!Q56</f>
        <v>0</v>
      </c>
      <c r="J76" s="92"/>
      <c r="K76" s="92"/>
      <c r="L76" s="96"/>
      <c r="M76" s="84"/>
    </row>
    <row r="77" spans="2:13" ht="30" hidden="1" customHeight="1">
      <c r="B77" s="83"/>
      <c r="C77" s="103" t="s">
        <v>87</v>
      </c>
      <c r="D77" s="104"/>
      <c r="E77" s="105" t="s">
        <v>86</v>
      </c>
      <c r="F77" s="105">
        <f>'NOMINA EMPELADOS CDO'!R56</f>
        <v>0</v>
      </c>
      <c r="G77" s="101"/>
      <c r="H77" s="100" t="s">
        <v>83</v>
      </c>
      <c r="I77" s="101">
        <f>'NOMINA EMPELADOS CDO'!S56</f>
        <v>0</v>
      </c>
      <c r="J77" s="92"/>
      <c r="K77" s="92"/>
      <c r="L77" s="96"/>
      <c r="M77" s="84"/>
    </row>
    <row r="78" spans="2:13" ht="30" hidden="1" customHeight="1">
      <c r="B78" s="83"/>
      <c r="C78" s="103" t="s">
        <v>55</v>
      </c>
      <c r="D78" s="104"/>
      <c r="E78" s="105" t="s">
        <v>86</v>
      </c>
      <c r="F78" s="105">
        <f>'NOMINA EMPELADOS CDO'!M56</f>
        <v>0</v>
      </c>
      <c r="G78" s="101"/>
      <c r="H78" s="100" t="s">
        <v>83</v>
      </c>
      <c r="I78" s="101">
        <f>'NOMINA EMPELADOS CDO'!O56</f>
        <v>0</v>
      </c>
      <c r="J78" s="92"/>
      <c r="K78" s="92"/>
      <c r="L78" s="96"/>
      <c r="M78" s="84"/>
    </row>
    <row r="79" spans="2:13" ht="30" hidden="1" customHeight="1">
      <c r="B79" s="83"/>
      <c r="C79" s="106" t="s">
        <v>88</v>
      </c>
      <c r="D79" s="107"/>
      <c r="E79" s="105" t="s">
        <v>89</v>
      </c>
      <c r="F79" s="105"/>
      <c r="G79" s="101"/>
      <c r="H79" s="100" t="s">
        <v>83</v>
      </c>
      <c r="I79" s="101">
        <f>'NOMINA EMPELADOS CDO'!T56</f>
        <v>0</v>
      </c>
      <c r="J79" s="92"/>
      <c r="K79" s="92"/>
      <c r="L79" s="96"/>
      <c r="M79" s="84"/>
    </row>
    <row r="80" spans="2:13" ht="30" hidden="1" customHeight="1">
      <c r="B80" s="83"/>
      <c r="C80" s="106" t="s">
        <v>54</v>
      </c>
      <c r="D80" s="107"/>
      <c r="E80" s="105" t="s">
        <v>86</v>
      </c>
      <c r="F80" s="105">
        <f>'NOMINA EMPELADOS CDO'!I56</f>
        <v>0</v>
      </c>
      <c r="G80" s="101"/>
      <c r="H80" s="100" t="s">
        <v>83</v>
      </c>
      <c r="I80" s="101">
        <f>'NOMINA EMPELADOS CDO'!J56</f>
        <v>0</v>
      </c>
      <c r="J80" s="92"/>
      <c r="K80" s="92"/>
      <c r="L80" s="96"/>
      <c r="M80" s="84"/>
    </row>
    <row r="81" spans="2:13" ht="30" hidden="1" customHeight="1">
      <c r="B81" s="83"/>
      <c r="C81" s="106" t="s">
        <v>90</v>
      </c>
      <c r="D81" s="107"/>
      <c r="E81" s="105" t="s">
        <v>89</v>
      </c>
      <c r="F81" s="184"/>
      <c r="G81" s="184"/>
      <c r="H81" s="100" t="s">
        <v>83</v>
      </c>
      <c r="I81" s="101">
        <f>'NOMINA EMPELADOS CDO'!P49</f>
        <v>0</v>
      </c>
      <c r="J81" s="92"/>
      <c r="K81" s="92"/>
      <c r="L81" s="96"/>
      <c r="M81" s="84"/>
    </row>
    <row r="82" spans="2:13" ht="30" hidden="1" customHeight="1">
      <c r="B82" s="83"/>
      <c r="C82" s="106" t="s">
        <v>91</v>
      </c>
      <c r="D82" s="92"/>
      <c r="E82" s="108"/>
      <c r="F82" s="109"/>
      <c r="G82" s="108" t="s">
        <v>92</v>
      </c>
      <c r="H82" s="100" t="s">
        <v>83</v>
      </c>
      <c r="I82" s="101">
        <f>'NOMINA EMPELADOS CDO'!S49</f>
        <v>0</v>
      </c>
      <c r="J82" s="92"/>
      <c r="K82" s="92"/>
      <c r="L82" s="96"/>
      <c r="M82" s="84"/>
    </row>
    <row r="83" spans="2:13" ht="30" hidden="1" customHeight="1">
      <c r="B83" s="83"/>
      <c r="C83" s="106" t="s">
        <v>17</v>
      </c>
      <c r="D83" s="110"/>
      <c r="E83" s="105"/>
      <c r="F83" s="111"/>
      <c r="G83" s="101"/>
      <c r="H83" s="100" t="s">
        <v>83</v>
      </c>
      <c r="I83" s="112">
        <f>+'NOMINA EMPELADOS CDO'!O13</f>
        <v>8442.384</v>
      </c>
      <c r="J83" s="113"/>
      <c r="K83" s="92"/>
      <c r="L83" s="96"/>
      <c r="M83" s="84"/>
    </row>
    <row r="84" spans="2:13" ht="39.950000000000003" hidden="1" customHeight="1">
      <c r="B84" s="83"/>
      <c r="C84" s="103"/>
      <c r="D84" s="92"/>
      <c r="E84" s="185" t="s">
        <v>93</v>
      </c>
      <c r="F84" s="185"/>
      <c r="G84" s="185"/>
      <c r="H84" s="114" t="s">
        <v>83</v>
      </c>
      <c r="I84" s="115">
        <f>SUM(I75:I83)</f>
        <v>9742.384</v>
      </c>
      <c r="J84" s="116"/>
      <c r="K84" s="92"/>
      <c r="L84" s="96"/>
      <c r="M84" s="84"/>
    </row>
    <row r="85" spans="2:13" ht="39.950000000000003" hidden="1" customHeight="1">
      <c r="B85" s="83"/>
      <c r="C85" s="180" t="s">
        <v>94</v>
      </c>
      <c r="D85" s="181"/>
      <c r="E85" s="92"/>
      <c r="F85" s="92"/>
      <c r="G85" s="92"/>
      <c r="H85" s="92"/>
      <c r="I85" s="92"/>
      <c r="J85" s="92"/>
      <c r="K85" s="92"/>
      <c r="L85" s="96"/>
      <c r="M85" s="84"/>
    </row>
    <row r="86" spans="2:13" ht="30" hidden="1" customHeight="1">
      <c r="B86" s="83"/>
      <c r="C86" s="103" t="s">
        <v>95</v>
      </c>
      <c r="D86" s="92"/>
      <c r="E86" s="111"/>
      <c r="F86" s="100" t="s">
        <v>96</v>
      </c>
      <c r="G86" s="117">
        <f>'NOMINA EMPELADOS CDO'!U13</f>
        <v>24</v>
      </c>
      <c r="H86" s="92"/>
      <c r="I86" s="101"/>
      <c r="J86" s="92"/>
      <c r="K86" s="92"/>
      <c r="L86" s="96"/>
      <c r="M86" s="84"/>
    </row>
    <row r="87" spans="2:13" ht="30" hidden="1" customHeight="1">
      <c r="B87" s="83"/>
      <c r="C87" s="103" t="s">
        <v>29</v>
      </c>
      <c r="D87" s="92"/>
      <c r="E87" s="111"/>
      <c r="F87" s="100" t="s">
        <v>96</v>
      </c>
      <c r="G87" s="117">
        <f>'NOMINA EMPELADOS CDO'!X13</f>
        <v>1256.7675360000001</v>
      </c>
      <c r="H87" s="92"/>
      <c r="I87" s="101"/>
      <c r="J87" s="92"/>
      <c r="K87" s="92"/>
      <c r="L87" s="96"/>
      <c r="M87" s="84"/>
    </row>
    <row r="88" spans="2:13" ht="30" hidden="1" customHeight="1">
      <c r="B88" s="83"/>
      <c r="C88" s="103" t="s">
        <v>97</v>
      </c>
      <c r="D88" s="92"/>
      <c r="E88" s="111"/>
      <c r="F88" s="100" t="s">
        <v>96</v>
      </c>
      <c r="G88" s="117">
        <f>'NOMINA EMPELADOS CDO'!W13</f>
        <v>730.67880000000002</v>
      </c>
      <c r="H88" s="92"/>
      <c r="I88" s="101"/>
      <c r="J88" s="92"/>
      <c r="K88" s="92"/>
      <c r="L88" s="96"/>
      <c r="M88" s="84"/>
    </row>
    <row r="89" spans="2:13" ht="30" hidden="1" customHeight="1">
      <c r="B89" s="83"/>
      <c r="C89" s="103" t="s">
        <v>98</v>
      </c>
      <c r="D89" s="92"/>
      <c r="E89" s="111"/>
      <c r="F89" s="100" t="s">
        <v>96</v>
      </c>
      <c r="G89" s="117">
        <f>'NOMINA EMPELADOS CDO'!V13</f>
        <v>6</v>
      </c>
      <c r="H89" s="92"/>
      <c r="I89" s="101"/>
      <c r="J89" s="92"/>
      <c r="K89" s="92"/>
      <c r="L89" s="96"/>
      <c r="M89" s="84"/>
    </row>
    <row r="90" spans="2:13" ht="30" hidden="1" customHeight="1">
      <c r="B90" s="83"/>
      <c r="C90" s="103" t="s">
        <v>99</v>
      </c>
      <c r="D90" s="92"/>
      <c r="E90" s="111"/>
      <c r="F90" s="100" t="s">
        <v>96</v>
      </c>
      <c r="G90" s="117">
        <f>'NOMINA EMPELADOS CDO'!Y13</f>
        <v>0</v>
      </c>
      <c r="H90" s="92"/>
      <c r="I90" s="101"/>
      <c r="J90" s="92"/>
      <c r="K90" s="92"/>
      <c r="L90" s="96"/>
      <c r="M90" s="84"/>
    </row>
    <row r="91" spans="2:13" ht="30" hidden="1" customHeight="1">
      <c r="B91" s="83"/>
      <c r="C91" s="103" t="s">
        <v>100</v>
      </c>
      <c r="D91" s="92"/>
      <c r="E91" s="111"/>
      <c r="F91" s="100" t="s">
        <v>96</v>
      </c>
      <c r="G91" s="118">
        <f>'NOMINA EMPELADOS CDO'!Z13</f>
        <v>0</v>
      </c>
      <c r="H91" s="92"/>
      <c r="I91" s="101"/>
      <c r="J91" s="92"/>
      <c r="K91" s="92"/>
      <c r="L91" s="96"/>
      <c r="M91" s="84"/>
    </row>
    <row r="92" spans="2:13" ht="50.1" hidden="1" customHeight="1">
      <c r="B92" s="83"/>
      <c r="C92" s="186" t="s">
        <v>101</v>
      </c>
      <c r="D92" s="187"/>
      <c r="E92" s="187"/>
      <c r="F92" s="100" t="s">
        <v>96</v>
      </c>
      <c r="G92" s="119">
        <f>SUM(G86:G91)</f>
        <v>2017.446336</v>
      </c>
      <c r="H92" s="188" t="s">
        <v>102</v>
      </c>
      <c r="I92" s="188"/>
      <c r="J92" s="188"/>
      <c r="K92" s="120">
        <f>I84-G92</f>
        <v>7724.937664</v>
      </c>
      <c r="L92" s="96"/>
      <c r="M92" s="84"/>
    </row>
    <row r="93" spans="2:13" ht="35.1" hidden="1" customHeight="1">
      <c r="B93" s="83"/>
      <c r="C93" s="103"/>
      <c r="D93" s="92"/>
      <c r="E93" s="94"/>
      <c r="F93" s="94"/>
      <c r="G93" s="94"/>
      <c r="H93" s="94"/>
      <c r="I93" s="121"/>
      <c r="J93" s="121"/>
      <c r="K93" s="92"/>
      <c r="L93" s="96"/>
      <c r="M93" s="84"/>
    </row>
    <row r="94" spans="2:13" ht="64.5" hidden="1" customHeight="1">
      <c r="B94" s="83"/>
      <c r="C94" s="189"/>
      <c r="D94" s="190"/>
      <c r="E94" s="190"/>
      <c r="F94" s="94"/>
      <c r="G94" s="132"/>
      <c r="H94" s="94"/>
      <c r="I94" s="121"/>
      <c r="J94" s="194" t="s">
        <v>103</v>
      </c>
      <c r="K94" s="92"/>
      <c r="L94" s="96"/>
      <c r="M94" s="84"/>
    </row>
    <row r="95" spans="2:13" ht="35.1" hidden="1" customHeight="1">
      <c r="B95" s="83"/>
      <c r="C95" s="103"/>
      <c r="D95" s="92"/>
      <c r="E95" s="92"/>
      <c r="F95" s="92"/>
      <c r="G95" s="92"/>
      <c r="H95" s="92"/>
      <c r="I95" s="92"/>
      <c r="J95" s="195" t="s">
        <v>103</v>
      </c>
      <c r="K95" s="122"/>
      <c r="L95" s="123"/>
      <c r="M95" s="84"/>
    </row>
    <row r="96" spans="2:13" ht="9.9499999999999993" hidden="1" customHeight="1">
      <c r="B96" s="83"/>
      <c r="C96" s="124"/>
      <c r="D96" s="125"/>
      <c r="E96" s="125"/>
      <c r="F96" s="125"/>
      <c r="G96" s="126"/>
      <c r="H96" s="125"/>
      <c r="I96" s="125"/>
      <c r="J96" s="125"/>
      <c r="K96" s="125"/>
      <c r="L96" s="127"/>
      <c r="M96" s="84"/>
    </row>
    <row r="97" spans="2:13" ht="5.0999999999999996" hidden="1" customHeight="1">
      <c r="B97" s="128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30"/>
    </row>
    <row r="98" spans="2:13" hidden="1"/>
    <row r="99" spans="2:13" hidden="1"/>
  </sheetData>
  <mergeCells count="51">
    <mergeCell ref="C94:E94"/>
    <mergeCell ref="J29:J30"/>
    <mergeCell ref="J61:J62"/>
    <mergeCell ref="J94:J95"/>
    <mergeCell ref="F81:G81"/>
    <mergeCell ref="E84:G84"/>
    <mergeCell ref="C85:D85"/>
    <mergeCell ref="C92:E92"/>
    <mergeCell ref="H92:J92"/>
    <mergeCell ref="G73:I73"/>
    <mergeCell ref="K73:L73"/>
    <mergeCell ref="C74:D74"/>
    <mergeCell ref="E75:F75"/>
    <mergeCell ref="J75:K75"/>
    <mergeCell ref="C61:E61"/>
    <mergeCell ref="C68:L68"/>
    <mergeCell ref="C69:J69"/>
    <mergeCell ref="C70:L70"/>
    <mergeCell ref="E72:I72"/>
    <mergeCell ref="K72:L72"/>
    <mergeCell ref="F48:G48"/>
    <mergeCell ref="E51:G51"/>
    <mergeCell ref="C52:D52"/>
    <mergeCell ref="C59:E59"/>
    <mergeCell ref="H59:J59"/>
    <mergeCell ref="G40:I40"/>
    <mergeCell ref="K40:L40"/>
    <mergeCell ref="C41:D41"/>
    <mergeCell ref="E42:F42"/>
    <mergeCell ref="J42:K42"/>
    <mergeCell ref="C29:E29"/>
    <mergeCell ref="C35:L35"/>
    <mergeCell ref="C36:J36"/>
    <mergeCell ref="C37:L37"/>
    <mergeCell ref="E39:I39"/>
    <mergeCell ref="K39:L39"/>
    <mergeCell ref="F16:G16"/>
    <mergeCell ref="E19:G19"/>
    <mergeCell ref="C20:D20"/>
    <mergeCell ref="C27:E27"/>
    <mergeCell ref="H27:J27"/>
    <mergeCell ref="G8:I8"/>
    <mergeCell ref="K8:L8"/>
    <mergeCell ref="C9:D9"/>
    <mergeCell ref="E10:F10"/>
    <mergeCell ref="J10:K10"/>
    <mergeCell ref="C3:L3"/>
    <mergeCell ref="C4:J4"/>
    <mergeCell ref="C5:L5"/>
    <mergeCell ref="E7:I7"/>
    <mergeCell ref="K7:L7"/>
  </mergeCells>
  <printOptions horizontalCentered="1" verticalCentered="1"/>
  <pageMargins left="0.39370078740157499" right="0.39370078740157499" top="0.39370078740157499" bottom="0.39370078740157499" header="0" footer="0"/>
  <pageSetup paperSize="119" scale="29" orientation="portrait" horizontalDpi="120" verticalDpi="7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H35"/>
  <sheetViews>
    <sheetView view="pageBreakPreview" zoomScaleNormal="100" workbookViewId="0">
      <selection activeCell="I11" sqref="I11"/>
    </sheetView>
  </sheetViews>
  <sheetFormatPr baseColWidth="10" defaultColWidth="11.42578125" defaultRowHeight="14.25"/>
  <cols>
    <col min="1" max="1" width="6.140625" style="22" customWidth="1"/>
    <col min="2" max="2" width="4.140625" style="22" customWidth="1"/>
    <col min="3" max="3" width="21.85546875" style="22" customWidth="1"/>
    <col min="4" max="4" width="12" style="22" customWidth="1"/>
    <col min="5" max="5" width="13.42578125" style="22" customWidth="1"/>
    <col min="6" max="6" width="10.85546875" style="22" customWidth="1"/>
    <col min="7" max="7" width="15.5703125" style="22" customWidth="1"/>
    <col min="8" max="8" width="28.140625" style="22" customWidth="1"/>
    <col min="9" max="9" width="8.28515625" style="22" customWidth="1"/>
    <col min="10" max="10" width="12.7109375" style="22" customWidth="1"/>
    <col min="11" max="11" width="11.140625" style="22" customWidth="1"/>
    <col min="12" max="12" width="16.5703125" style="22" hidden="1" customWidth="1"/>
    <col min="13" max="13" width="11.7109375" style="22" hidden="1" customWidth="1"/>
    <col min="14" max="14" width="15.5703125" style="22" customWidth="1"/>
    <col min="15" max="15" width="10.140625" style="22" hidden="1" customWidth="1"/>
    <col min="16" max="16" width="13.140625" style="22" hidden="1" customWidth="1"/>
    <col min="17" max="17" width="9.42578125" style="22" hidden="1" customWidth="1"/>
    <col min="18" max="18" width="10.5703125" style="22" hidden="1" customWidth="1"/>
    <col min="19" max="19" width="12.7109375" style="22" customWidth="1"/>
    <col min="20" max="22" width="10.28515625" style="22" customWidth="1"/>
    <col min="23" max="23" width="10.7109375" style="22" customWidth="1"/>
    <col min="24" max="25" width="13.7109375" style="22" hidden="1" customWidth="1"/>
    <col min="26" max="26" width="10.7109375" style="22" hidden="1" customWidth="1"/>
    <col min="27" max="27" width="13.7109375" style="22" customWidth="1"/>
    <col min="28" max="29" width="13.28515625" style="22" customWidth="1"/>
    <col min="30" max="30" width="1.85546875" style="22" customWidth="1"/>
    <col min="31" max="31" width="15.85546875" style="22" customWidth="1"/>
    <col min="32" max="16384" width="11.42578125" style="22"/>
  </cols>
  <sheetData>
    <row r="1" spans="2:34" ht="20.100000000000001" customHeight="1"/>
    <row r="2" spans="2:34" ht="49.5" customHeight="1">
      <c r="D2" s="164" t="s">
        <v>0</v>
      </c>
      <c r="E2" s="164"/>
    </row>
    <row r="3" spans="2:34" ht="42.75" customHeight="1">
      <c r="D3" s="164"/>
      <c r="E3" s="164"/>
    </row>
    <row r="4" spans="2:34" ht="42.75" customHeight="1">
      <c r="D4" s="23"/>
      <c r="E4" s="23"/>
    </row>
    <row r="5" spans="2:34" ht="19.5" customHeight="1">
      <c r="C5" s="24" t="s">
        <v>109</v>
      </c>
    </row>
    <row r="6" spans="2:34" ht="20.100000000000001" customHeight="1">
      <c r="C6" s="145" t="s">
        <v>110</v>
      </c>
      <c r="D6" s="145"/>
      <c r="E6" s="145"/>
      <c r="F6" s="145"/>
      <c r="AE6" s="25" t="s">
        <v>111</v>
      </c>
    </row>
    <row r="7" spans="2:34" ht="36.75" customHeight="1">
      <c r="B7" s="146" t="s">
        <v>4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26"/>
      <c r="AE7" s="22">
        <v>148.44399999999999</v>
      </c>
    </row>
    <row r="8" spans="2:34" ht="15" customHeight="1"/>
    <row r="9" spans="2:34" ht="30" customHeight="1">
      <c r="B9" s="150" t="s">
        <v>5</v>
      </c>
      <c r="C9" s="152" t="s">
        <v>6</v>
      </c>
      <c r="D9" s="154" t="s">
        <v>7</v>
      </c>
      <c r="E9" s="154" t="s">
        <v>8</v>
      </c>
      <c r="F9" s="154" t="s">
        <v>9</v>
      </c>
      <c r="G9" s="154" t="s">
        <v>10</v>
      </c>
      <c r="H9" s="154" t="s">
        <v>11</v>
      </c>
      <c r="I9" s="154" t="s">
        <v>12</v>
      </c>
      <c r="J9" s="154" t="s">
        <v>13</v>
      </c>
      <c r="K9" s="154" t="s">
        <v>14</v>
      </c>
      <c r="L9" s="156" t="s">
        <v>15</v>
      </c>
      <c r="M9" s="154" t="s">
        <v>16</v>
      </c>
      <c r="N9" s="158" t="s">
        <v>17</v>
      </c>
      <c r="O9" s="156" t="s">
        <v>18</v>
      </c>
      <c r="P9" s="160" t="s">
        <v>19</v>
      </c>
      <c r="Q9" s="156" t="s">
        <v>20</v>
      </c>
      <c r="R9" s="156" t="s">
        <v>21</v>
      </c>
      <c r="S9" s="154" t="s">
        <v>22</v>
      </c>
      <c r="T9" s="147" t="s">
        <v>23</v>
      </c>
      <c r="U9" s="148"/>
      <c r="V9" s="148"/>
      <c r="W9" s="148"/>
      <c r="X9" s="148"/>
      <c r="Y9" s="148"/>
      <c r="Z9" s="148"/>
      <c r="AA9" s="149"/>
      <c r="AB9" s="162" t="s">
        <v>24</v>
      </c>
      <c r="AC9" s="28"/>
    </row>
    <row r="10" spans="2:34" ht="36.75" customHeight="1">
      <c r="B10" s="151"/>
      <c r="C10" s="153"/>
      <c r="D10" s="155"/>
      <c r="E10" s="155"/>
      <c r="F10" s="155"/>
      <c r="G10" s="155"/>
      <c r="H10" s="155"/>
      <c r="I10" s="155"/>
      <c r="J10" s="155"/>
      <c r="K10" s="155"/>
      <c r="L10" s="157"/>
      <c r="M10" s="155" t="s">
        <v>25</v>
      </c>
      <c r="N10" s="159"/>
      <c r="O10" s="157"/>
      <c r="P10" s="161"/>
      <c r="Q10" s="157"/>
      <c r="R10" s="157"/>
      <c r="S10" s="155"/>
      <c r="T10" s="27" t="s">
        <v>26</v>
      </c>
      <c r="U10" s="27" t="s">
        <v>27</v>
      </c>
      <c r="V10" s="27" t="s">
        <v>28</v>
      </c>
      <c r="W10" s="27" t="s">
        <v>29</v>
      </c>
      <c r="X10" s="27" t="s">
        <v>30</v>
      </c>
      <c r="Y10" s="27" t="s">
        <v>31</v>
      </c>
      <c r="Z10" s="27" t="s">
        <v>32</v>
      </c>
      <c r="AA10" s="29" t="s">
        <v>33</v>
      </c>
      <c r="AB10" s="163"/>
      <c r="AC10" s="28"/>
      <c r="AE10" s="30"/>
      <c r="AF10" s="31"/>
    </row>
    <row r="11" spans="2:34" ht="47.25" customHeight="1">
      <c r="B11" s="32">
        <v>1</v>
      </c>
      <c r="C11" s="32" t="s">
        <v>34</v>
      </c>
      <c r="D11" s="33">
        <v>16067033</v>
      </c>
      <c r="E11" s="33" t="s">
        <v>35</v>
      </c>
      <c r="F11" s="34">
        <v>45001</v>
      </c>
      <c r="G11" s="32" t="s">
        <v>36</v>
      </c>
      <c r="H11" s="34" t="s">
        <v>37</v>
      </c>
      <c r="I11" s="35">
        <f>ASISTENCIA!AA13</f>
        <v>30</v>
      </c>
      <c r="J11" s="36">
        <v>43.33</v>
      </c>
      <c r="K11" s="36">
        <f>J11*30</f>
        <v>1299.9000000000001</v>
      </c>
      <c r="L11" s="36">
        <v>0</v>
      </c>
      <c r="M11" s="37">
        <f>I11*J11</f>
        <v>1299.9000000000001</v>
      </c>
      <c r="N11" s="38">
        <f>(80*AE7)-M11</f>
        <v>10575.62</v>
      </c>
      <c r="O11" s="38">
        <v>0</v>
      </c>
      <c r="P11" s="39"/>
      <c r="Q11" s="38">
        <f>ASISTENCIA!Z13</f>
        <v>0</v>
      </c>
      <c r="R11" s="38">
        <f>J11/8*Q11</f>
        <v>0</v>
      </c>
      <c r="S11" s="37">
        <f>M11+N11</f>
        <v>11875.52</v>
      </c>
      <c r="T11" s="40">
        <f>((J11/2)*30*12)/52*4%*4</f>
        <v>23.998153846153802</v>
      </c>
      <c r="U11" s="40">
        <f>(J11*30*12)/52*0.5%*4</f>
        <v>5.9995384615384602</v>
      </c>
      <c r="V11" s="40">
        <f>K11*1%</f>
        <v>12.999000000000001</v>
      </c>
      <c r="W11" s="41">
        <f>+S11*1.82%</f>
        <v>216.13446400000001</v>
      </c>
      <c r="X11" s="41">
        <v>0</v>
      </c>
      <c r="Y11" s="41">
        <v>0</v>
      </c>
      <c r="Z11" s="41">
        <v>0</v>
      </c>
      <c r="AA11" s="40">
        <f t="shared" ref="AA11:AA13" si="0">T11+U11+V11+W11</f>
        <v>259.13115630769198</v>
      </c>
      <c r="AB11" s="42">
        <f>S11-AA11</f>
        <v>11616.388843692301</v>
      </c>
      <c r="AC11" s="43">
        <v>17528.02</v>
      </c>
      <c r="AE11" s="44"/>
      <c r="AF11" s="44"/>
      <c r="AG11" s="44"/>
      <c r="AH11" s="44"/>
    </row>
    <row r="12" spans="2:34" ht="47.25" customHeight="1">
      <c r="B12" s="32">
        <f>+B11+1</f>
        <v>2</v>
      </c>
      <c r="C12" s="32" t="s">
        <v>38</v>
      </c>
      <c r="D12" s="33">
        <v>8326409</v>
      </c>
      <c r="E12" s="33" t="s">
        <v>39</v>
      </c>
      <c r="F12" s="45">
        <v>45001</v>
      </c>
      <c r="G12" s="32" t="s">
        <v>40</v>
      </c>
      <c r="H12" s="45" t="s">
        <v>41</v>
      </c>
      <c r="I12" s="35">
        <f>ASISTENCIA!AA14</f>
        <v>30</v>
      </c>
      <c r="J12" s="36">
        <f>1300/30</f>
        <v>43.3333333333333</v>
      </c>
      <c r="K12" s="36">
        <f t="shared" ref="K12:K15" si="1">J12*30</f>
        <v>1300</v>
      </c>
      <c r="L12" s="36">
        <v>0</v>
      </c>
      <c r="M12" s="37">
        <f t="shared" ref="M12:M15" si="2">I12*J12</f>
        <v>1300</v>
      </c>
      <c r="N12" s="38">
        <f>(120*AE7)-M12</f>
        <v>16513.28</v>
      </c>
      <c r="O12" s="38">
        <f>AF12</f>
        <v>0</v>
      </c>
      <c r="P12" s="39"/>
      <c r="Q12" s="38">
        <f>ASISTENCIA!Z14</f>
        <v>0</v>
      </c>
      <c r="R12" s="38">
        <f>J12/8*Q12</f>
        <v>0</v>
      </c>
      <c r="S12" s="37">
        <f t="shared" ref="S12:S15" si="3">M12+N12</f>
        <v>17813.28</v>
      </c>
      <c r="T12" s="40">
        <f>((J12/2)*30*12)/52*4%*4</f>
        <v>24</v>
      </c>
      <c r="U12" s="40">
        <f t="shared" ref="U12:U15" si="4">(J12*30*12)/52*0.5%*4</f>
        <v>6</v>
      </c>
      <c r="V12" s="40">
        <f t="shared" ref="V12:V15" si="5">K12*1%</f>
        <v>13</v>
      </c>
      <c r="W12" s="41">
        <f>1.36%*S12</f>
        <v>242.26060799999999</v>
      </c>
      <c r="X12" s="41">
        <v>0</v>
      </c>
      <c r="Y12" s="41">
        <v>0</v>
      </c>
      <c r="Z12" s="41">
        <v>0</v>
      </c>
      <c r="AA12" s="40">
        <f t="shared" si="0"/>
        <v>285.26060799999999</v>
      </c>
      <c r="AB12" s="42">
        <f t="shared" ref="AB12:AB15" si="6">S12-AA12</f>
        <v>17528.019391999998</v>
      </c>
      <c r="AC12" s="43">
        <v>17528.02</v>
      </c>
      <c r="AE12" s="44"/>
      <c r="AF12" s="44"/>
      <c r="AG12" s="44"/>
      <c r="AH12" s="44"/>
    </row>
    <row r="13" spans="2:34" ht="47.25" customHeight="1">
      <c r="B13" s="32">
        <f t="shared" ref="B13:B15" si="7">+B12+1</f>
        <v>3</v>
      </c>
      <c r="C13" s="32" t="s">
        <v>42</v>
      </c>
      <c r="D13" s="33">
        <v>8234036</v>
      </c>
      <c r="E13" s="33" t="s">
        <v>43</v>
      </c>
      <c r="F13" s="45">
        <v>45218</v>
      </c>
      <c r="G13" s="32" t="s">
        <v>40</v>
      </c>
      <c r="H13" s="45" t="s">
        <v>41</v>
      </c>
      <c r="I13" s="35">
        <f>ASISTENCIA!AA15</f>
        <v>30</v>
      </c>
      <c r="J13" s="36">
        <f>1300/30</f>
        <v>43.3333333333333</v>
      </c>
      <c r="K13" s="36">
        <f t="shared" si="1"/>
        <v>1300</v>
      </c>
      <c r="L13" s="36"/>
      <c r="M13" s="37">
        <f t="shared" si="2"/>
        <v>1300</v>
      </c>
      <c r="N13" s="38">
        <f>(120*AE7)-M13</f>
        <v>16513.28</v>
      </c>
      <c r="O13" s="38"/>
      <c r="P13" s="39"/>
      <c r="Q13" s="38"/>
      <c r="R13" s="38"/>
      <c r="S13" s="37">
        <f t="shared" si="3"/>
        <v>17813.28</v>
      </c>
      <c r="T13" s="40">
        <f t="shared" ref="T13:T15" si="8">((J13/2)*30*12)/52*4%*4</f>
        <v>24</v>
      </c>
      <c r="U13" s="40">
        <f t="shared" si="4"/>
        <v>6</v>
      </c>
      <c r="V13" s="40">
        <f t="shared" si="5"/>
        <v>13</v>
      </c>
      <c r="W13" s="41">
        <f>+S13*1.56%</f>
        <v>277.88716799999997</v>
      </c>
      <c r="X13" s="41"/>
      <c r="Y13" s="41"/>
      <c r="Z13" s="41"/>
      <c r="AA13" s="40">
        <f t="shared" si="0"/>
        <v>320.88716799999997</v>
      </c>
      <c r="AB13" s="42">
        <f t="shared" si="6"/>
        <v>17492.392832000001</v>
      </c>
      <c r="AC13" s="43">
        <v>17528.02</v>
      </c>
      <c r="AE13" s="44"/>
      <c r="AF13" s="44"/>
      <c r="AG13" s="44"/>
      <c r="AH13" s="44"/>
    </row>
    <row r="14" spans="2:34" ht="47.25" customHeight="1">
      <c r="B14" s="32">
        <f t="shared" si="7"/>
        <v>4</v>
      </c>
      <c r="C14" s="32" t="s">
        <v>44</v>
      </c>
      <c r="D14" s="33">
        <v>19316663</v>
      </c>
      <c r="E14" s="33" t="s">
        <v>45</v>
      </c>
      <c r="F14" s="45">
        <v>45839</v>
      </c>
      <c r="G14" s="32" t="s">
        <v>46</v>
      </c>
      <c r="H14" s="45" t="s">
        <v>47</v>
      </c>
      <c r="I14" s="35">
        <f>ASISTENCIA!AA16</f>
        <v>30</v>
      </c>
      <c r="J14" s="36">
        <f>1300/30</f>
        <v>43.3333333333333</v>
      </c>
      <c r="K14" s="36">
        <f t="shared" si="1"/>
        <v>1300</v>
      </c>
      <c r="L14" s="36"/>
      <c r="M14" s="37">
        <f t="shared" si="2"/>
        <v>1300</v>
      </c>
      <c r="N14" s="38">
        <f>(120*AE7)-M14</f>
        <v>16513.28</v>
      </c>
      <c r="O14" s="38"/>
      <c r="P14" s="39"/>
      <c r="Q14" s="38"/>
      <c r="R14" s="38"/>
      <c r="S14" s="37">
        <f t="shared" si="3"/>
        <v>17813.28</v>
      </c>
      <c r="T14" s="40">
        <f t="shared" si="8"/>
        <v>24</v>
      </c>
      <c r="U14" s="40">
        <f t="shared" si="4"/>
        <v>6</v>
      </c>
      <c r="V14" s="40">
        <f t="shared" si="5"/>
        <v>13</v>
      </c>
      <c r="W14" s="41">
        <f>+S14*1.12%</f>
        <v>199.508736</v>
      </c>
      <c r="X14" s="41"/>
      <c r="Y14" s="41"/>
      <c r="Z14" s="41"/>
      <c r="AA14" s="40">
        <f t="shared" ref="AA14:AA15" si="9">T14+U14+V14+W14</f>
        <v>242.508736</v>
      </c>
      <c r="AB14" s="42">
        <f t="shared" si="6"/>
        <v>17570.771263999999</v>
      </c>
      <c r="AC14" s="43">
        <v>17528.02</v>
      </c>
      <c r="AE14" s="44"/>
      <c r="AF14" s="44"/>
      <c r="AG14" s="44"/>
      <c r="AH14" s="44"/>
    </row>
    <row r="15" spans="2:34" ht="43.5" customHeight="1">
      <c r="B15" s="32">
        <f t="shared" si="7"/>
        <v>5</v>
      </c>
      <c r="C15" s="32" t="s">
        <v>48</v>
      </c>
      <c r="D15" s="33">
        <v>31311552</v>
      </c>
      <c r="E15" s="33" t="s">
        <v>49</v>
      </c>
      <c r="F15" s="45">
        <v>45839</v>
      </c>
      <c r="G15" s="32" t="s">
        <v>50</v>
      </c>
      <c r="H15" s="45" t="s">
        <v>47</v>
      </c>
      <c r="I15" s="35">
        <f>ASISTENCIA!AA17</f>
        <v>30</v>
      </c>
      <c r="J15" s="36">
        <f>1300/30</f>
        <v>43.3333333333333</v>
      </c>
      <c r="K15" s="36">
        <f t="shared" si="1"/>
        <v>1300</v>
      </c>
      <c r="L15" s="36">
        <v>1</v>
      </c>
      <c r="M15" s="37">
        <f t="shared" si="2"/>
        <v>1300</v>
      </c>
      <c r="N15" s="38">
        <f>+(120*AE7)-M15</f>
        <v>16513.28</v>
      </c>
      <c r="O15" s="38">
        <f>AF15</f>
        <v>0</v>
      </c>
      <c r="P15" s="39"/>
      <c r="Q15" s="38">
        <f>ASISTENCIA!Z15</f>
        <v>0</v>
      </c>
      <c r="R15" s="38">
        <f>J15/8*Q15</f>
        <v>0</v>
      </c>
      <c r="S15" s="37">
        <f t="shared" si="3"/>
        <v>17813.28</v>
      </c>
      <c r="T15" s="40">
        <f t="shared" si="8"/>
        <v>24</v>
      </c>
      <c r="U15" s="40">
        <f t="shared" si="4"/>
        <v>6</v>
      </c>
      <c r="V15" s="40">
        <f t="shared" si="5"/>
        <v>13</v>
      </c>
      <c r="W15" s="41">
        <f>+S15*1.43%</f>
        <v>254.729904</v>
      </c>
      <c r="X15" s="41">
        <v>0</v>
      </c>
      <c r="Y15" s="41">
        <v>0</v>
      </c>
      <c r="Z15" s="41">
        <v>0</v>
      </c>
      <c r="AA15" s="40">
        <f t="shared" si="9"/>
        <v>297.72990399999998</v>
      </c>
      <c r="AB15" s="42">
        <f t="shared" si="6"/>
        <v>17515.550095999999</v>
      </c>
      <c r="AC15" s="43">
        <v>17528.02</v>
      </c>
      <c r="AE15" s="44"/>
      <c r="AF15" s="44"/>
      <c r="AG15" s="44"/>
      <c r="AH15" s="44"/>
    </row>
    <row r="16" spans="2:34" ht="37.5" customHeight="1">
      <c r="I16" s="46"/>
      <c r="J16" s="47">
        <f>SUM(J11:J15)</f>
        <v>216.66333333333299</v>
      </c>
      <c r="K16" s="47">
        <f>SUM(K11:K15)</f>
        <v>6499.9</v>
      </c>
      <c r="L16" s="48">
        <f t="shared" ref="L16:R16" si="10">SUM(L11:L12)</f>
        <v>0</v>
      </c>
      <c r="M16" s="49">
        <f t="shared" si="10"/>
        <v>2599.9</v>
      </c>
      <c r="N16" s="50">
        <f t="shared" si="10"/>
        <v>27088.9</v>
      </c>
      <c r="O16" s="47">
        <f t="shared" si="10"/>
        <v>0</v>
      </c>
      <c r="P16" s="47">
        <f t="shared" si="10"/>
        <v>0</v>
      </c>
      <c r="Q16" s="47">
        <f t="shared" si="10"/>
        <v>0</v>
      </c>
      <c r="R16" s="47">
        <f t="shared" si="10"/>
        <v>0</v>
      </c>
      <c r="S16" s="51">
        <f>SUM(S11:S15)</f>
        <v>83128.639999999999</v>
      </c>
      <c r="T16" s="52">
        <f>SUM(T11:T15)</f>
        <v>119.998153846154</v>
      </c>
      <c r="U16" s="52">
        <f t="shared" ref="U16:V16" si="11">SUM(U11:U15)</f>
        <v>29.999538461538499</v>
      </c>
      <c r="V16" s="52">
        <f t="shared" si="11"/>
        <v>64.998999999999995</v>
      </c>
      <c r="W16" s="52">
        <f>SUM(W11:W12)</f>
        <v>458.39507200000003</v>
      </c>
      <c r="X16" s="52">
        <f>SUM(X11:X12)</f>
        <v>0</v>
      </c>
      <c r="Y16" s="52">
        <f>SUM(Y11:Y12)</f>
        <v>0</v>
      </c>
      <c r="Z16" s="52">
        <f>SUM(Z11:Z12)</f>
        <v>0</v>
      </c>
      <c r="AA16" s="53">
        <f>SUM(AA11:AA15)</f>
        <v>1405.51757230769</v>
      </c>
      <c r="AB16" s="54">
        <f>SUM(AB11:AB15)</f>
        <v>81723.122427692302</v>
      </c>
      <c r="AC16" s="54">
        <f>SUM(AC11:AC15)</f>
        <v>87640.1</v>
      </c>
    </row>
    <row r="17" spans="6:29" ht="20.100000000000001" customHeight="1">
      <c r="I17" s="46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</row>
    <row r="18" spans="6:29">
      <c r="N18" s="56"/>
      <c r="O18" s="56"/>
      <c r="P18" s="56"/>
      <c r="Q18" s="56"/>
      <c r="R18" s="56"/>
    </row>
    <row r="19" spans="6:29" ht="40.5">
      <c r="G19" s="22" t="s">
        <v>51</v>
      </c>
      <c r="H19" s="57" t="s">
        <v>52</v>
      </c>
      <c r="I19" s="57" t="s">
        <v>53</v>
      </c>
      <c r="J19" s="27" t="s">
        <v>54</v>
      </c>
      <c r="K19" s="27"/>
      <c r="L19" s="58"/>
      <c r="M19" s="58" t="s">
        <v>53</v>
      </c>
      <c r="N19" s="27" t="s">
        <v>55</v>
      </c>
      <c r="O19" s="58" t="s">
        <v>53</v>
      </c>
      <c r="P19" s="27" t="s">
        <v>56</v>
      </c>
      <c r="Q19" s="27" t="s">
        <v>53</v>
      </c>
      <c r="R19" s="27" t="s">
        <v>57</v>
      </c>
      <c r="S19" s="58" t="s">
        <v>58</v>
      </c>
      <c r="T19" s="27" t="s">
        <v>59</v>
      </c>
      <c r="U19" s="27" t="s">
        <v>60</v>
      </c>
      <c r="V19" s="46"/>
      <c r="W19" s="46"/>
      <c r="X19" s="46"/>
      <c r="Y19" s="46"/>
      <c r="Z19" s="59"/>
      <c r="AA19" s="55"/>
    </row>
    <row r="20" spans="6:29" ht="25.5" customHeight="1">
      <c r="F20" s="60"/>
      <c r="H20" s="61" t="str">
        <f>C11</f>
        <v>DAIRILYS DEL CARMEN GUAREGUA CHAGUAN</v>
      </c>
      <c r="I20" s="62"/>
      <c r="J20" s="63">
        <f>((J11)+(115%*J11))/8*I20</f>
        <v>0</v>
      </c>
      <c r="K20" s="63"/>
      <c r="L20" s="63"/>
      <c r="M20" s="62">
        <v>0</v>
      </c>
      <c r="N20" s="63">
        <f>((J11)+(115%*J11))/8*M20</f>
        <v>0</v>
      </c>
      <c r="O20" s="62">
        <v>0</v>
      </c>
      <c r="P20" s="63">
        <f>(J11/8*(90/100)+(J11/8))*O20</f>
        <v>0</v>
      </c>
      <c r="Q20" s="62">
        <v>0</v>
      </c>
      <c r="R20" s="63">
        <f>(J11/8*(115/100)+(J11/8))*Q20</f>
        <v>0</v>
      </c>
      <c r="S20" s="64">
        <f>(J20+N20+P20+R20)/7</f>
        <v>0</v>
      </c>
      <c r="T20" s="62">
        <f>I20+M20+O20+Q20</f>
        <v>0</v>
      </c>
      <c r="U20" s="65">
        <f>J20+N20+P20+R20+S20</f>
        <v>0</v>
      </c>
      <c r="Z20" s="66"/>
    </row>
    <row r="21" spans="6:29" ht="25.5" customHeight="1">
      <c r="H21" s="67" t="str">
        <f>C12</f>
        <v>EMILIO JOSÉ PINTO DOMIGUEZ</v>
      </c>
      <c r="I21" s="68"/>
      <c r="J21" s="69">
        <f>((J12)+(115%*J12))/8*I21</f>
        <v>0</v>
      </c>
      <c r="K21" s="69"/>
      <c r="L21" s="69"/>
      <c r="M21" s="68">
        <v>0</v>
      </c>
      <c r="N21" s="69">
        <f>((J12)+(115%*J12))/8*M21</f>
        <v>0</v>
      </c>
      <c r="O21" s="68">
        <v>0</v>
      </c>
      <c r="P21" s="69">
        <f>(J12/8*(90/100)+(J12/8))*O21</f>
        <v>0</v>
      </c>
      <c r="Q21" s="68">
        <v>0</v>
      </c>
      <c r="R21" s="69">
        <f>(J12/8*(115/100)+(J12/8))*Q21</f>
        <v>0</v>
      </c>
      <c r="S21" s="70">
        <f>(J21+N21+P21+R21)/7</f>
        <v>0</v>
      </c>
      <c r="T21" s="68">
        <f>I21+M21+O21+Q21</f>
        <v>0</v>
      </c>
      <c r="U21" s="71">
        <f>J21+N21+P21+R21+S21</f>
        <v>0</v>
      </c>
      <c r="Z21" s="66"/>
    </row>
    <row r="22" spans="6:29" ht="25.5" customHeight="1">
      <c r="H22" s="67" t="str">
        <f t="shared" ref="H22:H25" si="12">C13</f>
        <v>JESÚS RAFAEL ARAY CAGUANA</v>
      </c>
      <c r="I22" s="68"/>
      <c r="J22" s="69">
        <f t="shared" ref="J22:J25" si="13">((J13)+(115%*J13))/8*I22</f>
        <v>0</v>
      </c>
      <c r="K22" s="69"/>
      <c r="L22" s="69"/>
      <c r="M22" s="68">
        <v>0</v>
      </c>
      <c r="N22" s="69">
        <f t="shared" ref="N22:N25" si="14">((J13)+(115%*J13))/8*M22</f>
        <v>0</v>
      </c>
      <c r="O22" s="68">
        <v>0</v>
      </c>
      <c r="P22" s="69">
        <f t="shared" ref="P22:P25" si="15">(J13/8*(90/100)+(J13/8))*O22</f>
        <v>0</v>
      </c>
      <c r="Q22" s="68">
        <v>0</v>
      </c>
      <c r="R22" s="69">
        <f t="shared" ref="R22:R25" si="16">(J13/8*(115/100)+(J13/8))*Q22</f>
        <v>0</v>
      </c>
      <c r="S22" s="70">
        <f t="shared" ref="S22:S25" si="17">(J22+N22+P22+R22)/7</f>
        <v>0</v>
      </c>
      <c r="T22" s="68">
        <f t="shared" ref="T22:T25" si="18">I22+M22+O22+Q22</f>
        <v>0</v>
      </c>
      <c r="U22" s="71">
        <f t="shared" ref="U22:U25" si="19">J22+N22+P22+R22+S22</f>
        <v>0</v>
      </c>
      <c r="Z22" s="66"/>
    </row>
    <row r="23" spans="6:29" ht="25.5" customHeight="1">
      <c r="H23" s="67" t="str">
        <f t="shared" si="12"/>
        <v>THEISY DEL CARMEN NADALES LOPEZ</v>
      </c>
      <c r="I23" s="68"/>
      <c r="J23" s="69">
        <f t="shared" si="13"/>
        <v>0</v>
      </c>
      <c r="K23" s="69"/>
      <c r="L23" s="69"/>
      <c r="M23" s="68">
        <v>0</v>
      </c>
      <c r="N23" s="69">
        <f t="shared" si="14"/>
        <v>0</v>
      </c>
      <c r="O23" s="68">
        <v>0</v>
      </c>
      <c r="P23" s="69">
        <f t="shared" si="15"/>
        <v>0</v>
      </c>
      <c r="Q23" s="68">
        <v>0</v>
      </c>
      <c r="R23" s="69">
        <f t="shared" si="16"/>
        <v>0</v>
      </c>
      <c r="S23" s="70">
        <f t="shared" si="17"/>
        <v>0</v>
      </c>
      <c r="T23" s="68">
        <f t="shared" si="18"/>
        <v>0</v>
      </c>
      <c r="U23" s="71">
        <f t="shared" si="19"/>
        <v>0</v>
      </c>
      <c r="Z23" s="66"/>
    </row>
    <row r="24" spans="6:29" ht="25.5" customHeight="1">
      <c r="H24" s="67" t="str">
        <f t="shared" si="12"/>
        <v>MARIA VICTORIA GUAITA CANELON</v>
      </c>
      <c r="I24" s="68"/>
      <c r="J24" s="69">
        <f t="shared" si="13"/>
        <v>0</v>
      </c>
      <c r="K24" s="69"/>
      <c r="L24" s="69"/>
      <c r="M24" s="68">
        <v>0</v>
      </c>
      <c r="N24" s="69">
        <f t="shared" si="14"/>
        <v>0</v>
      </c>
      <c r="O24" s="68">
        <v>0</v>
      </c>
      <c r="P24" s="69">
        <f t="shared" si="15"/>
        <v>0</v>
      </c>
      <c r="Q24" s="68">
        <v>0</v>
      </c>
      <c r="R24" s="69">
        <f t="shared" si="16"/>
        <v>0</v>
      </c>
      <c r="S24" s="70">
        <f t="shared" si="17"/>
        <v>0</v>
      </c>
      <c r="T24" s="68">
        <f t="shared" si="18"/>
        <v>0</v>
      </c>
      <c r="U24" s="71">
        <f t="shared" si="19"/>
        <v>0</v>
      </c>
      <c r="Z24" s="66"/>
    </row>
    <row r="25" spans="6:29" ht="20.100000000000001" customHeight="1">
      <c r="H25" s="72">
        <f t="shared" si="12"/>
        <v>0</v>
      </c>
      <c r="I25" s="73"/>
      <c r="J25" s="74">
        <f t="shared" si="13"/>
        <v>0</v>
      </c>
      <c r="K25" s="74"/>
      <c r="L25" s="74"/>
      <c r="M25" s="73">
        <v>0</v>
      </c>
      <c r="N25" s="74">
        <f t="shared" si="14"/>
        <v>0</v>
      </c>
      <c r="O25" s="73">
        <v>0</v>
      </c>
      <c r="P25" s="74">
        <f t="shared" si="15"/>
        <v>0</v>
      </c>
      <c r="Q25" s="73">
        <v>0</v>
      </c>
      <c r="R25" s="74">
        <f t="shared" si="16"/>
        <v>0</v>
      </c>
      <c r="S25" s="75">
        <f t="shared" si="17"/>
        <v>0</v>
      </c>
      <c r="T25" s="73">
        <f t="shared" si="18"/>
        <v>0</v>
      </c>
      <c r="U25" s="76">
        <f t="shared" si="19"/>
        <v>0</v>
      </c>
      <c r="Z25" s="66"/>
    </row>
    <row r="26" spans="6:29" ht="20.100000000000001" customHeight="1">
      <c r="I26" s="77">
        <f>SUM(I20:I21)</f>
        <v>0</v>
      </c>
      <c r="J26" s="78">
        <f>SUM(J20:J21)</f>
        <v>0</v>
      </c>
      <c r="K26" s="78"/>
      <c r="L26" s="78"/>
      <c r="M26" s="77">
        <f t="shared" ref="M26:U26" si="20">SUM(M20:M21)</f>
        <v>0</v>
      </c>
      <c r="N26" s="78">
        <f t="shared" si="20"/>
        <v>0</v>
      </c>
      <c r="O26" s="77">
        <f t="shared" si="20"/>
        <v>0</v>
      </c>
      <c r="P26" s="78">
        <f t="shared" si="20"/>
        <v>0</v>
      </c>
      <c r="Q26" s="77">
        <f t="shared" si="20"/>
        <v>0</v>
      </c>
      <c r="R26" s="78">
        <f t="shared" si="20"/>
        <v>0</v>
      </c>
      <c r="S26" s="78">
        <f t="shared" si="20"/>
        <v>0</v>
      </c>
      <c r="T26" s="77">
        <f t="shared" si="20"/>
        <v>0</v>
      </c>
      <c r="U26" s="78">
        <f t="shared" si="20"/>
        <v>0</v>
      </c>
      <c r="V26" s="79"/>
      <c r="W26" s="79"/>
      <c r="X26" s="79"/>
      <c r="Y26" s="79"/>
      <c r="Z26" s="79"/>
      <c r="AA26" s="79"/>
    </row>
    <row r="27" spans="6:29">
      <c r="V27" s="46"/>
      <c r="W27" s="46"/>
      <c r="X27" s="46"/>
      <c r="Y27" s="46"/>
    </row>
    <row r="29" spans="6:29">
      <c r="J29" s="44"/>
      <c r="K29" s="44"/>
      <c r="L29" s="44"/>
    </row>
    <row r="30" spans="6:29">
      <c r="I30" s="30"/>
      <c r="J30" s="30"/>
      <c r="K30" s="30"/>
      <c r="L30" s="30"/>
      <c r="M30" s="30"/>
    </row>
    <row r="31" spans="6:29">
      <c r="I31" s="30"/>
      <c r="J31" s="30"/>
      <c r="K31" s="44"/>
      <c r="L31" s="44"/>
    </row>
    <row r="32" spans="6:29">
      <c r="I32" s="44"/>
      <c r="J32" s="44"/>
      <c r="K32" s="44"/>
      <c r="L32" s="44"/>
      <c r="M32" s="44"/>
      <c r="N32" s="44"/>
      <c r="O32" s="44"/>
      <c r="P32" s="44"/>
    </row>
    <row r="33" spans="9:20">
      <c r="I33" s="44"/>
      <c r="J33" s="44"/>
      <c r="K33" s="44"/>
      <c r="L33" s="44"/>
      <c r="M33" s="44"/>
      <c r="N33" s="44"/>
      <c r="O33" s="44"/>
      <c r="P33" s="44"/>
      <c r="T33" s="44"/>
    </row>
    <row r="34" spans="9:20">
      <c r="I34" s="44"/>
      <c r="J34" s="44"/>
      <c r="K34" s="44"/>
      <c r="L34" s="44"/>
      <c r="M34" s="44"/>
      <c r="N34" s="44"/>
      <c r="O34" s="44"/>
      <c r="P34" s="44"/>
    </row>
    <row r="35" spans="9:20">
      <c r="J35" s="44"/>
      <c r="K35" s="44"/>
      <c r="L35" s="44"/>
      <c r="M35" s="44"/>
    </row>
  </sheetData>
  <mergeCells count="23">
    <mergeCell ref="AB9:AB10"/>
    <mergeCell ref="D2:E3"/>
    <mergeCell ref="O9:O10"/>
    <mergeCell ref="P9:P10"/>
    <mergeCell ref="Q9:Q10"/>
    <mergeCell ref="R9:R10"/>
    <mergeCell ref="S9:S10"/>
    <mergeCell ref="C6:F6"/>
    <mergeCell ref="B7:AB7"/>
    <mergeCell ref="T9:AA9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</mergeCells>
  <printOptions horizontalCentered="1" verticalCentered="1"/>
  <pageMargins left="0.43307086614173201" right="0.39370078740157499" top="0.31496062992126" bottom="0.39370078740157499" header="0" footer="0"/>
  <pageSetup scale="51" orientation="landscape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C28"/>
  <sheetViews>
    <sheetView topLeftCell="A7" zoomScale="98" zoomScaleNormal="98" workbookViewId="0">
      <pane xSplit="3" ySplit="6" topLeftCell="R13" activePane="bottomRight" state="frozen"/>
      <selection pane="topRight"/>
      <selection pane="bottomLeft"/>
      <selection pane="bottomRight" activeCell="AA18" sqref="AA18"/>
    </sheetView>
  </sheetViews>
  <sheetFormatPr baseColWidth="10" defaultColWidth="11" defaultRowHeight="12.75"/>
  <cols>
    <col min="1" max="1" width="3.7109375" customWidth="1"/>
    <col min="3" max="3" width="40.7109375" customWidth="1"/>
    <col min="4" max="6" width="4.28515625" customWidth="1"/>
    <col min="7" max="21" width="6.7109375" customWidth="1"/>
    <col min="22" max="24" width="4.42578125" customWidth="1"/>
    <col min="25" max="25" width="6.7109375" customWidth="1"/>
    <col min="26" max="28" width="20.7109375" customWidth="1"/>
    <col min="29" max="29" width="46.5703125" customWidth="1"/>
  </cols>
  <sheetData>
    <row r="1" spans="2:29" ht="20.100000000000001" customHeight="1"/>
    <row r="2" spans="2:29" ht="20.100000000000001" customHeight="1"/>
    <row r="3" spans="2:29" ht="20.100000000000001" customHeight="1"/>
    <row r="4" spans="2:29" ht="20.100000000000001" customHeight="1"/>
    <row r="5" spans="2:29" ht="20.100000000000001" customHeight="1"/>
    <row r="6" spans="2:29" ht="20.100000000000001" customHeight="1"/>
    <row r="7" spans="2:29" ht="21">
      <c r="B7" s="196" t="s">
        <v>112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"/>
      <c r="AC7" s="1"/>
    </row>
    <row r="8" spans="2:29" ht="39.950000000000003" customHeight="1">
      <c r="B8" s="2" t="str">
        <f>'NOMINA EMPELADOS CDO'!C5</f>
        <v>MES DE ABRIL  2026</v>
      </c>
      <c r="C8" s="2"/>
    </row>
    <row r="9" spans="2:29" ht="39.950000000000003" customHeight="1">
      <c r="B9" s="2" t="str">
        <f>'NOMINA EMPELADOS CDO'!C6</f>
        <v>DESDE EL 01/04 AL  30/04/2026</v>
      </c>
      <c r="C9" s="2"/>
    </row>
    <row r="10" spans="2:29" ht="24.95" customHeight="1">
      <c r="B10" s="203" t="s">
        <v>113</v>
      </c>
      <c r="C10" s="205" t="s">
        <v>114</v>
      </c>
      <c r="D10" s="197">
        <v>21</v>
      </c>
      <c r="E10" s="198"/>
      <c r="F10" s="199"/>
      <c r="G10" s="200">
        <v>22</v>
      </c>
      <c r="H10" s="201"/>
      <c r="I10" s="202"/>
      <c r="J10" s="200">
        <f>G10+1</f>
        <v>23</v>
      </c>
      <c r="K10" s="201"/>
      <c r="L10" s="202"/>
      <c r="M10" s="200">
        <f t="shared" ref="M10" si="0">J10+1</f>
        <v>24</v>
      </c>
      <c r="N10" s="201"/>
      <c r="O10" s="202"/>
      <c r="P10" s="200">
        <f t="shared" ref="P10" si="1">M10+1</f>
        <v>25</v>
      </c>
      <c r="Q10" s="201"/>
      <c r="R10" s="202"/>
      <c r="S10" s="200">
        <f t="shared" ref="S10" si="2">P10+1</f>
        <v>26</v>
      </c>
      <c r="T10" s="201"/>
      <c r="U10" s="202"/>
      <c r="V10" s="197">
        <f>S10+1</f>
        <v>27</v>
      </c>
      <c r="W10" s="198"/>
      <c r="X10" s="199"/>
      <c r="Y10" s="3"/>
      <c r="Z10" s="207" t="s">
        <v>115</v>
      </c>
      <c r="AA10" s="203" t="s">
        <v>116</v>
      </c>
      <c r="AB10" s="203" t="s">
        <v>117</v>
      </c>
      <c r="AC10" s="203" t="s">
        <v>118</v>
      </c>
    </row>
    <row r="11" spans="2:29" ht="24.95" customHeight="1">
      <c r="B11" s="204"/>
      <c r="C11" s="206"/>
      <c r="D11" s="197" t="s">
        <v>119</v>
      </c>
      <c r="E11" s="198" t="s">
        <v>120</v>
      </c>
      <c r="F11" s="199"/>
      <c r="G11" s="200" t="s">
        <v>121</v>
      </c>
      <c r="H11" s="201"/>
      <c r="I11" s="202"/>
      <c r="J11" s="200" t="s">
        <v>122</v>
      </c>
      <c r="K11" s="201" t="s">
        <v>120</v>
      </c>
      <c r="L11" s="202"/>
      <c r="M11" s="200" t="s">
        <v>122</v>
      </c>
      <c r="N11" s="201"/>
      <c r="O11" s="202"/>
      <c r="P11" s="200" t="s">
        <v>123</v>
      </c>
      <c r="Q11" s="201"/>
      <c r="R11" s="202"/>
      <c r="S11" s="200" t="s">
        <v>124</v>
      </c>
      <c r="T11" s="201" t="s">
        <v>120</v>
      </c>
      <c r="U11" s="202"/>
      <c r="V11" s="197" t="s">
        <v>120</v>
      </c>
      <c r="W11" s="198"/>
      <c r="X11" s="199"/>
      <c r="Y11" s="4"/>
      <c r="Z11" s="208"/>
      <c r="AA11" s="204"/>
      <c r="AB11" s="204"/>
      <c r="AC11" s="204"/>
    </row>
    <row r="12" spans="2:29" ht="24.95" customHeight="1">
      <c r="B12" s="204"/>
      <c r="C12" s="206"/>
      <c r="D12" s="5"/>
      <c r="E12" s="5"/>
      <c r="F12" s="5"/>
      <c r="G12" s="6"/>
      <c r="H12" s="7"/>
      <c r="I12" s="6"/>
      <c r="J12" s="6"/>
      <c r="K12" s="7"/>
      <c r="L12" s="6"/>
      <c r="M12" s="8"/>
      <c r="N12" s="9"/>
      <c r="O12" s="8"/>
      <c r="P12" s="6"/>
      <c r="Q12" s="7"/>
      <c r="R12" s="6"/>
      <c r="S12" s="6"/>
      <c r="T12" s="7"/>
      <c r="U12" s="6"/>
      <c r="V12" s="5"/>
      <c r="W12" s="10"/>
      <c r="X12" s="5"/>
      <c r="Y12" s="11"/>
      <c r="Z12" s="208"/>
      <c r="AA12" s="204"/>
      <c r="AB12" s="204"/>
      <c r="AC12" s="204"/>
    </row>
    <row r="13" spans="2:29" ht="50.1" customHeight="1">
      <c r="B13" s="12">
        <v>1</v>
      </c>
      <c r="C13" s="13" t="str">
        <f>'NOMINA EMPELADOS CDO'!C11</f>
        <v>DAIRILYS DEL CARMEN GUAREGUA CHAGUAN</v>
      </c>
      <c r="D13" s="14"/>
      <c r="E13" s="14"/>
      <c r="F13" s="14"/>
      <c r="G13" s="15" t="s">
        <v>125</v>
      </c>
      <c r="H13" s="15" t="s">
        <v>125</v>
      </c>
      <c r="I13" s="15"/>
      <c r="J13" s="15" t="s">
        <v>125</v>
      </c>
      <c r="K13" s="15" t="s">
        <v>125</v>
      </c>
      <c r="L13" s="15"/>
      <c r="M13" s="16" t="s">
        <v>125</v>
      </c>
      <c r="N13" s="16" t="s">
        <v>125</v>
      </c>
      <c r="O13" s="16"/>
      <c r="P13" s="15" t="s">
        <v>125</v>
      </c>
      <c r="Q13" s="15" t="s">
        <v>125</v>
      </c>
      <c r="R13" s="15"/>
      <c r="S13" s="15" t="s">
        <v>125</v>
      </c>
      <c r="T13" s="15" t="s">
        <v>125</v>
      </c>
      <c r="U13" s="15"/>
      <c r="V13" s="14"/>
      <c r="W13" s="14"/>
      <c r="X13" s="14"/>
      <c r="Y13" s="15"/>
      <c r="Z13" s="17">
        <v>0</v>
      </c>
      <c r="AA13" s="17">
        <v>30</v>
      </c>
      <c r="AB13" s="17">
        <v>0</v>
      </c>
      <c r="AC13" s="17" t="s">
        <v>126</v>
      </c>
    </row>
    <row r="14" spans="2:29" ht="50.1" customHeight="1">
      <c r="B14" s="12">
        <v>2</v>
      </c>
      <c r="C14" s="13" t="str">
        <f>'NOMINA EMPELADOS CDO'!C12</f>
        <v>EMILIO JOSÉ PINTO DOMIGUEZ</v>
      </c>
      <c r="D14" s="14"/>
      <c r="E14" s="14"/>
      <c r="F14" s="14"/>
      <c r="G14" s="15" t="s">
        <v>125</v>
      </c>
      <c r="H14" s="15" t="s">
        <v>125</v>
      </c>
      <c r="I14" s="15"/>
      <c r="J14" s="15" t="s">
        <v>125</v>
      </c>
      <c r="K14" s="15" t="s">
        <v>125</v>
      </c>
      <c r="L14" s="15"/>
      <c r="M14" s="16" t="s">
        <v>125</v>
      </c>
      <c r="N14" s="16" t="s">
        <v>125</v>
      </c>
      <c r="O14" s="16"/>
      <c r="P14" s="15" t="s">
        <v>125</v>
      </c>
      <c r="Q14" s="15" t="s">
        <v>125</v>
      </c>
      <c r="R14" s="15"/>
      <c r="S14" s="15" t="s">
        <v>125</v>
      </c>
      <c r="T14" s="15" t="s">
        <v>125</v>
      </c>
      <c r="U14" s="15"/>
      <c r="V14" s="14"/>
      <c r="W14" s="14"/>
      <c r="X14" s="14"/>
      <c r="Y14" s="15"/>
      <c r="Z14" s="17">
        <v>0</v>
      </c>
      <c r="AA14" s="17">
        <v>30</v>
      </c>
      <c r="AB14" s="17">
        <v>0</v>
      </c>
      <c r="AC14" s="17" t="s">
        <v>126</v>
      </c>
    </row>
    <row r="15" spans="2:29" ht="49.5" customHeight="1">
      <c r="B15" s="12">
        <v>3</v>
      </c>
      <c r="C15" s="13" t="str">
        <f>'NOMINA EMPELADOS CDO'!C13</f>
        <v>JESÚS RAFAEL ARAY CAGUANA</v>
      </c>
      <c r="D15" s="14"/>
      <c r="E15" s="14"/>
      <c r="F15" s="14"/>
      <c r="G15" s="15" t="s">
        <v>125</v>
      </c>
      <c r="H15" s="15" t="s">
        <v>125</v>
      </c>
      <c r="I15" s="15"/>
      <c r="J15" s="15" t="s">
        <v>125</v>
      </c>
      <c r="K15" s="15" t="s">
        <v>125</v>
      </c>
      <c r="L15" s="15"/>
      <c r="M15" s="16" t="s">
        <v>125</v>
      </c>
      <c r="N15" s="16" t="s">
        <v>125</v>
      </c>
      <c r="O15" s="16"/>
      <c r="P15" s="15" t="s">
        <v>125</v>
      </c>
      <c r="Q15" s="15" t="s">
        <v>125</v>
      </c>
      <c r="R15" s="15"/>
      <c r="S15" s="15" t="s">
        <v>125</v>
      </c>
      <c r="T15" s="15" t="s">
        <v>125</v>
      </c>
      <c r="U15" s="15"/>
      <c r="V15" s="14"/>
      <c r="W15" s="14"/>
      <c r="X15" s="14"/>
      <c r="Y15" s="15"/>
      <c r="Z15" s="17">
        <v>0</v>
      </c>
      <c r="AA15" s="17">
        <v>30</v>
      </c>
      <c r="AB15" s="17">
        <v>0</v>
      </c>
      <c r="AC15" s="17" t="s">
        <v>126</v>
      </c>
    </row>
    <row r="16" spans="2:29" ht="49.5" customHeight="1">
      <c r="B16" s="12">
        <v>4</v>
      </c>
      <c r="C16" s="13" t="str">
        <f>'NOMINA EMPELADOS CDO'!C14</f>
        <v>THEISY DEL CARMEN NADALES LOPEZ</v>
      </c>
      <c r="D16" s="14"/>
      <c r="E16" s="14"/>
      <c r="F16" s="14"/>
      <c r="G16" s="15" t="s">
        <v>125</v>
      </c>
      <c r="H16" s="15" t="s">
        <v>125</v>
      </c>
      <c r="I16" s="15"/>
      <c r="J16" s="15" t="s">
        <v>125</v>
      </c>
      <c r="K16" s="15" t="s">
        <v>125</v>
      </c>
      <c r="L16" s="15"/>
      <c r="M16" s="16" t="s">
        <v>125</v>
      </c>
      <c r="N16" s="16" t="s">
        <v>125</v>
      </c>
      <c r="O16" s="16"/>
      <c r="P16" s="15" t="s">
        <v>125</v>
      </c>
      <c r="Q16" s="15" t="s">
        <v>125</v>
      </c>
      <c r="R16" s="15"/>
      <c r="S16" s="15" t="s">
        <v>125</v>
      </c>
      <c r="T16" s="15" t="s">
        <v>125</v>
      </c>
      <c r="U16" s="15"/>
      <c r="V16" s="14"/>
      <c r="W16" s="14"/>
      <c r="X16" s="14"/>
      <c r="Y16" s="15"/>
      <c r="Z16" s="17">
        <v>0</v>
      </c>
      <c r="AA16" s="17">
        <v>30</v>
      </c>
      <c r="AB16" s="17">
        <v>0</v>
      </c>
      <c r="AC16" s="17" t="s">
        <v>126</v>
      </c>
    </row>
    <row r="17" spans="2:29" ht="49.5" customHeight="1">
      <c r="B17" s="12">
        <v>5</v>
      </c>
      <c r="C17" s="13" t="str">
        <f>'NOMINA EMPELADOS CDO'!C15</f>
        <v xml:space="preserve"> MARIA VICTORIA GUAITA CANELON</v>
      </c>
      <c r="D17" s="14"/>
      <c r="E17" s="14"/>
      <c r="F17" s="14"/>
      <c r="G17" s="15" t="s">
        <v>125</v>
      </c>
      <c r="H17" s="15" t="s">
        <v>125</v>
      </c>
      <c r="I17" s="15"/>
      <c r="J17" s="15" t="s">
        <v>125</v>
      </c>
      <c r="K17" s="15" t="s">
        <v>125</v>
      </c>
      <c r="L17" s="15"/>
      <c r="M17" s="16" t="s">
        <v>125</v>
      </c>
      <c r="N17" s="16" t="s">
        <v>125</v>
      </c>
      <c r="O17" s="16"/>
      <c r="P17" s="15" t="s">
        <v>125</v>
      </c>
      <c r="Q17" s="15" t="s">
        <v>125</v>
      </c>
      <c r="R17" s="15"/>
      <c r="S17" s="15" t="s">
        <v>125</v>
      </c>
      <c r="T17" s="15" t="s">
        <v>125</v>
      </c>
      <c r="U17" s="15"/>
      <c r="V17" s="14"/>
      <c r="W17" s="14"/>
      <c r="X17" s="14"/>
      <c r="Y17" s="15"/>
      <c r="Z17" s="17">
        <v>0</v>
      </c>
      <c r="AA17" s="17">
        <v>30</v>
      </c>
      <c r="AB17" s="17">
        <v>0</v>
      </c>
      <c r="AC17" s="17" t="s">
        <v>126</v>
      </c>
    </row>
    <row r="19" spans="2:29" ht="20.100000000000001" customHeight="1">
      <c r="B19" s="18"/>
      <c r="C19" s="19" t="s">
        <v>127</v>
      </c>
    </row>
    <row r="20" spans="2:29" ht="20.100000000000001" customHeight="1"/>
    <row r="21" spans="2:29" ht="20.100000000000001" customHeight="1">
      <c r="B21" s="20"/>
      <c r="C21" s="19" t="s">
        <v>128</v>
      </c>
    </row>
    <row r="22" spans="2:29" ht="20.100000000000001" customHeight="1"/>
    <row r="23" spans="2:29" ht="20.100000000000001" customHeight="1">
      <c r="B23" s="21"/>
      <c r="C23" t="s">
        <v>129</v>
      </c>
    </row>
    <row r="24" spans="2:29" ht="20.100000000000001" customHeight="1"/>
    <row r="25" spans="2:29" ht="20.100000000000001" customHeight="1"/>
    <row r="27" spans="2:29">
      <c r="C27">
        <f>18000*16%</f>
        <v>2880</v>
      </c>
    </row>
    <row r="28" spans="2:29">
      <c r="C28">
        <f>18000+2880</f>
        <v>20880</v>
      </c>
    </row>
  </sheetData>
  <mergeCells count="21">
    <mergeCell ref="AB10:AB12"/>
    <mergeCell ref="AC10:AC12"/>
    <mergeCell ref="S11:U11"/>
    <mergeCell ref="V11:X11"/>
    <mergeCell ref="B10:B12"/>
    <mergeCell ref="C10:C12"/>
    <mergeCell ref="Z10:Z12"/>
    <mergeCell ref="D11:F11"/>
    <mergeCell ref="G11:I11"/>
    <mergeCell ref="J11:L11"/>
    <mergeCell ref="M11:O11"/>
    <mergeCell ref="P11:R11"/>
    <mergeCell ref="B7:AA7"/>
    <mergeCell ref="D10:F10"/>
    <mergeCell ref="G10:I10"/>
    <mergeCell ref="J10:L10"/>
    <mergeCell ref="M10:O10"/>
    <mergeCell ref="P10:R10"/>
    <mergeCell ref="S10:U10"/>
    <mergeCell ref="V10:X10"/>
    <mergeCell ref="AA10:AA12"/>
  </mergeCells>
  <pageMargins left="1.1811023622047201" right="0.70866141732283505" top="0.74803149606299202" bottom="0.74803149606299202" header="0.31496062992126" footer="0.31496062992126"/>
  <pageSetup paperSize="5" scale="3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NOMINA EMPELADOS CDO</vt:lpstr>
      <vt:lpstr>NOMINA DIRECTIVOS</vt:lpstr>
      <vt:lpstr> 1RECIBOS DEL 1 AL 2</vt:lpstr>
      <vt:lpstr> 1RECIBOS DEL 3 AL 4</vt:lpstr>
      <vt:lpstr> 1RECIBOS DEL 5 AL6 </vt:lpstr>
      <vt:lpstr> 1RECIBOS DEL D-1 Y D-2</vt:lpstr>
      <vt:lpstr>RESUMEN DE NOMINA</vt:lpstr>
      <vt:lpstr>ASISTENCIA</vt:lpstr>
      <vt:lpstr>' 1RECIBOS DEL 1 AL 2'!Área_de_impresión</vt:lpstr>
      <vt:lpstr>' 1RECIBOS DEL 3 AL 4'!Área_de_impresión</vt:lpstr>
      <vt:lpstr>' 1RECIBOS DEL 5 AL6 '!Área_de_impresión</vt:lpstr>
      <vt:lpstr>' 1RECIBOS DEL D-1 Y D-2'!Área_de_impresión</vt:lpstr>
      <vt:lpstr>ASISTENCIA!Área_de_impresión</vt:lpstr>
      <vt:lpstr>'NOMINA DIRECTIVOS'!Área_de_impresión</vt:lpstr>
      <vt:lpstr>'NOMINA EMPELADOS CDO'!Área_de_impresión</vt:lpstr>
      <vt:lpstr>'RESUMEN DE NOMINA'!Área_de_impresión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 Vasquez</dc:creator>
  <cp:lastModifiedBy>Casadulce Oriente</cp:lastModifiedBy>
  <cp:lastPrinted>2026-04-06T21:43:00Z</cp:lastPrinted>
  <dcterms:created xsi:type="dcterms:W3CDTF">2009-03-26T21:19:00Z</dcterms:created>
  <dcterms:modified xsi:type="dcterms:W3CDTF">2026-07-03T17:43:23Z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AEE033B0D52D474FAD88586C01375CBC_12</vt:lpwstr>
  </property>
  <property fmtid="{D5CDD505-2E9C-101B-9397-08002B2CF9AE}" pid="3" name="KSOProductBuildVer">
    <vt:lpwstr>2058-12.1.0.25862</vt:lpwstr>
  </property>
  <property fmtid="{D5CDD505-2E9C-101B-9397-08002B2CF9AE}" pid="4" name="CalculationRule">
    <vt:i4>0</vt:i4>
  </property>
</Properties>
</file>